
<file path=[Content_Types].xml><?xml version="1.0" encoding="utf-8"?>
<Types xmlns="http://schemas.openxmlformats.org/package/2006/content-types"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8.xml" ContentType="application/vnd.openxmlformats-officedocument.spreadsheetml.queryTable+xml"/>
  <Override PartName="/xl/charts/colors1.xml" ContentType="application/vnd.ms-office.chartcolorsty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96.xml" ContentType="application/vnd.openxmlformats-officedocument.spreadsheetml.queryTable+xml"/>
  <Override PartName="/xl/activeX/activeX1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92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70.xml" ContentType="application/vnd.openxmlformats-officedocument.spreadsheetml.queryTable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7A2D7E96-6E34-419A-AE5F-296B3A7E7977}"/>
  <workbookPr codeName="EstaPasta_de_trabalho"/>
  <bookViews>
    <workbookView xWindow="0" yWindow="120" windowWidth="15360" windowHeight="7635" activeTab="1"/>
  </bookViews>
  <sheets>
    <sheet name="Modelo Atmosférico" sheetId="31" r:id="rId1"/>
    <sheet name="Leitura Dados de Vôo" sheetId="65" r:id="rId2"/>
  </sheets>
  <definedNames>
    <definedName name="P1_flight_data_raw" localSheetId="1">'Leitura Dados de Vôo'!$C$8:$C$40</definedName>
    <definedName name="P1_flight_data_raw_1" localSheetId="1">'Leitura Dados de Vôo'!$C$8:$C$51</definedName>
    <definedName name="P1_flight_data_raw_23" localSheetId="1">'Leitura Dados de Vôo'!$C$8:$C$40</definedName>
    <definedName name="P1_flight_data_raw_3" localSheetId="1">'Leitura Dados de Vôo'!$C$8:$C$42</definedName>
    <definedName name="P1_flight_data_raw_38" localSheetId="1">'Leitura Dados de Vôo'!$C$8:$C$40</definedName>
    <definedName name="P1_flight_data_raw_4" localSheetId="1">'Leitura Dados de Vôo'!$C$8:$C$42</definedName>
    <definedName name="P1_flight_data_raw_40" localSheetId="1">'Leitura Dados de Vôo'!$C$8:$C$87</definedName>
    <definedName name="P1_flight_data_raw_41" localSheetId="1">'Leitura Dados de Vôo'!$C$8:$C$87</definedName>
    <definedName name="P1_flight_data_raw_43" localSheetId="1">'Leitura Dados de Vôo'!$C$8:$C$41</definedName>
    <definedName name="P1_flight_data_raw_49" localSheetId="1">'Leitura Dados de Vôo'!$C$8:$C$42</definedName>
    <definedName name="P1_flight_data_raw_50" localSheetId="1">'Leitura Dados de Vôo'!$C$8:$C$42</definedName>
    <definedName name="P1_flight_data_raw_54" localSheetId="1">'Leitura Dados de Vôo'!$C$8:$C$40</definedName>
    <definedName name="P1_flight_data_raw_55" localSheetId="1">'Leitura Dados de Vôo'!$C$8:$C$46</definedName>
    <definedName name="P1_flight_data_raw_56" localSheetId="1">'Leitura Dados de Vôo'!$C$8:$C$40</definedName>
    <definedName name="P1_flight_data_raw_58" localSheetId="1">'Leitura Dados de Vôo'!$C$8:$C$43</definedName>
    <definedName name="P1_flight_data_raw_64" localSheetId="1">'Leitura Dados de Vôo'!$C$8:$C$95</definedName>
    <definedName name="P1_flight_data_raw_65" localSheetId="1">'Leitura Dados de Vôo'!$C$8:$C$42</definedName>
    <definedName name="P1_flight_data_raw_66" localSheetId="1">'Leitura Dados de Vôo'!$C$8:$C$112</definedName>
    <definedName name="P1_flight_data_raw_67" localSheetId="1">'Leitura Dados de Vôo'!$C$8:$C$180</definedName>
    <definedName name="P1_flight_data_raw_8" localSheetId="1">'Leitura Dados de Vôo'!$C$8:$C$43</definedName>
    <definedName name="P1_flight_data_true" localSheetId="1">'Leitura Dados de Vôo'!$D$2:$D$95</definedName>
    <definedName name="P1_flight_data_true_1" localSheetId="1">'Leitura Dados de Vôo'!#REF!</definedName>
    <definedName name="P1_flight_data_true_10" localSheetId="1">'Leitura Dados de Vôo'!$D$2:$D$51</definedName>
    <definedName name="P1_flight_data_true_11" localSheetId="1">'Leitura Dados de Vôo'!$D$2:$D$51</definedName>
    <definedName name="P1_flight_data_true_12" localSheetId="1">'Leitura Dados de Vôo'!$D$2:$D$42</definedName>
    <definedName name="P1_flight_data_true_13" localSheetId="1">'Leitura Dados de Vôo'!$D$2:$D$42</definedName>
    <definedName name="P1_flight_data_true_14" localSheetId="1">'Leitura Dados de Vôo'!$D$2:$D$38</definedName>
    <definedName name="P1_flight_data_true_15" localSheetId="1">'Leitura Dados de Vôo'!$D$2:$D$39</definedName>
    <definedName name="P1_flight_data_true_16" localSheetId="1">'Leitura Dados de Vôo'!$D$2:$D$39</definedName>
    <definedName name="P1_flight_data_true_17" localSheetId="1">'Leitura Dados de Vôo'!$D$2:$D$44</definedName>
    <definedName name="P1_flight_data_true_18" localSheetId="1">'Leitura Dados de Vôo'!$D$2:$D$41</definedName>
    <definedName name="P1_flight_data_true_19" localSheetId="1">'Leitura Dados de Vôo'!$D$2:$D$37</definedName>
    <definedName name="P1_flight_data_true_2" localSheetId="1">'Leitura Dados de Vôo'!$D$2:$D$95</definedName>
    <definedName name="P1_flight_data_true_20" localSheetId="1">'Leitura Dados de Vôo'!$D$2:$D$37</definedName>
    <definedName name="P1_flight_data_true_21" localSheetId="1">'Leitura Dados de Vôo'!$D$2:$D$38</definedName>
    <definedName name="P1_flight_data_true_22" localSheetId="1">'Leitura Dados de Vôo'!$D$2:$D$38</definedName>
    <definedName name="P1_flight_data_true_23" localSheetId="1">'Leitura Dados de Vôo'!$D$2:$D$36</definedName>
    <definedName name="P1_flight_data_true_24" localSheetId="1">'Leitura Dados de Vôo'!$D$2:$D$37</definedName>
    <definedName name="P1_flight_data_true_25" localSheetId="1">'Leitura Dados de Vôo'!$D$2:$D$36</definedName>
    <definedName name="P1_flight_data_true_26" localSheetId="1">'Leitura Dados de Vôo'!$D$2:$D$35</definedName>
    <definedName name="P1_flight_data_true_27" localSheetId="1">'Leitura Dados de Vôo'!$D$2:$D$35</definedName>
    <definedName name="P1_flight_data_true_28" localSheetId="1">'Leitura Dados de Vôo'!$D$2:$D$35</definedName>
    <definedName name="P1_flight_data_true_29" localSheetId="1">'Leitura Dados de Vôo'!$D$2:$D$36</definedName>
    <definedName name="P1_flight_data_true_3" localSheetId="1">'Leitura Dados de Vôo'!$D$2:$D$95</definedName>
    <definedName name="P1_flight_data_true_30" localSheetId="1">'Leitura Dados de Vôo'!$D$2:$D$34</definedName>
    <definedName name="P1_flight_data_true_31" localSheetId="1">'Leitura Dados de Vôo'!$D$2:$D$35</definedName>
    <definedName name="P1_flight_data_true_32" localSheetId="1">'Leitura Dados de Vôo'!$D$2:$D$35</definedName>
    <definedName name="P1_flight_data_true_33" localSheetId="1">'Leitura Dados de Vôo'!$D$2:$D$41</definedName>
    <definedName name="P1_flight_data_true_34" localSheetId="1">'Leitura Dados de Vôo'!$D$2:$D$35</definedName>
    <definedName name="P1_flight_data_true_35" localSheetId="1">'Leitura Dados de Vôo'!$D$2:$D$39</definedName>
    <definedName name="P1_flight_data_true_36" localSheetId="1">'Leitura Dados de Vôo'!$D$2:$D$39</definedName>
    <definedName name="P1_flight_data_true_37" localSheetId="1">'Leitura Dados de Vôo'!$D$2:$D$37</definedName>
    <definedName name="P1_flight_data_true_38" localSheetId="1">'Leitura Dados de Vôo'!$D$2:$D$39</definedName>
    <definedName name="P1_flight_data_true_39" localSheetId="1">'Leitura Dados de Vôo'!$D$2:$D$36</definedName>
    <definedName name="P1_flight_data_true_4" localSheetId="1">'Leitura Dados de Vôo'!$D$2:$D$50</definedName>
    <definedName name="P1_flight_data_true_40" localSheetId="1">'Leitura Dados de Vôo'!$D$2:$D$38</definedName>
    <definedName name="P1_flight_data_true_41" localSheetId="1">'Leitura Dados de Vôo'!$D$2:$D$10</definedName>
    <definedName name="P1_flight_data_true_42" localSheetId="1">'Leitura Dados de Vôo'!$D$2:$D$10</definedName>
    <definedName name="P1_flight_data_true_43" localSheetId="1">'Leitura Dados de Vôo'!$D$2:$D$10</definedName>
    <definedName name="P1_flight_data_true_44" localSheetId="1">'Leitura Dados de Vôo'!$D$2:$D$10</definedName>
    <definedName name="P1_flight_data_true_45" localSheetId="1">'Leitura Dados de Vôo'!$D$2:$D$10</definedName>
    <definedName name="P1_flight_data_true_46" localSheetId="1">'Leitura Dados de Vôo'!$D$2:$D$10</definedName>
    <definedName name="P1_flight_data_true_47" localSheetId="1">'Leitura Dados de Vôo'!$D$2:$D$39</definedName>
    <definedName name="P1_flight_data_true_48" localSheetId="1">'Leitura Dados de Vôo'!$D$2:$D$41</definedName>
    <definedName name="P1_flight_data_true_49" localSheetId="1">'Leitura Dados de Vôo'!$D$2:$D$10</definedName>
    <definedName name="P1_flight_data_true_5" localSheetId="1">'Leitura Dados de Vôo'!$D$2:$D$50</definedName>
    <definedName name="P1_flight_data_true_50" localSheetId="1">'Leitura Dados de Vôo'!$D$2:$D$88</definedName>
    <definedName name="P1_flight_data_true_51" localSheetId="1">'Leitura Dados de Vôo'!$D$2:$D$88</definedName>
    <definedName name="P1_flight_data_true_52" localSheetId="1">'Leitura Dados de Vôo'!$D$2:$D$35</definedName>
    <definedName name="P1_flight_data_true_53" localSheetId="1">'Leitura Dados de Vôo'!$D$2:$D$42</definedName>
    <definedName name="P1_flight_data_true_54" localSheetId="1">'Leitura Dados de Vôo'!$D$2:$D$38</definedName>
    <definedName name="P1_flight_data_true_55" localSheetId="1">'Leitura Dados de Vôo'!$D$2:$D$37</definedName>
    <definedName name="P1_flight_data_true_56" localSheetId="1">'Leitura Dados de Vôo'!$D$2:$D$39</definedName>
    <definedName name="P1_flight_data_true_57" localSheetId="1">'Leitura Dados de Vôo'!$D$2:$D$39</definedName>
    <definedName name="P1_flight_data_true_58" localSheetId="1">'Leitura Dados de Vôo'!$D$2:$D$39</definedName>
    <definedName name="P1_flight_data_true_59" localSheetId="1">'Leitura Dados de Vôo'!$D$2:$D$42</definedName>
    <definedName name="P1_flight_data_true_6" localSheetId="1">'Leitura Dados de Vôo'!$D$2:$D$50</definedName>
    <definedName name="P1_flight_data_true_60" localSheetId="1">'Leitura Dados de Vôo'!$D$2:$D$42</definedName>
    <definedName name="P1_flight_data_true_61" localSheetId="1">'Leitura Dados de Vôo'!$D$2:$D$37</definedName>
    <definedName name="P1_flight_data_true_62" localSheetId="1">'Leitura Dados de Vôo'!$D$2:$D$37</definedName>
    <definedName name="P1_flight_data_true_63" localSheetId="1">'Leitura Dados de Vôo'!$D$2:$D$37</definedName>
    <definedName name="P1_flight_data_true_64" localSheetId="1">'Leitura Dados de Vôo'!$D$2:$D$40</definedName>
    <definedName name="P1_flight_data_true_65" localSheetId="1">'Leitura Dados de Vôo'!$D$2:$D$46</definedName>
    <definedName name="P1_flight_data_true_66" localSheetId="1">'Leitura Dados de Vôo'!$D$2:$D$40</definedName>
    <definedName name="P1_flight_data_true_67" localSheetId="1">'Leitura Dados de Vôo'!$D$2:$D$39</definedName>
    <definedName name="P1_flight_data_true_68" localSheetId="1">'Leitura Dados de Vôo'!$D$2:$D$43</definedName>
    <definedName name="P1_flight_data_true_69" localSheetId="1">'Leitura Dados de Vôo'!$D$2:$D$39</definedName>
    <definedName name="P1_flight_data_true_7" localSheetId="1">'Leitura Dados de Vôo'!#REF!</definedName>
    <definedName name="P1_flight_data_true_70" localSheetId="1">'Leitura Dados de Vôo'!$D$2:$D$38</definedName>
    <definedName name="P1_flight_data_true_71" localSheetId="1">'Leitura Dados de Vôo'!$D$2:$D$38</definedName>
    <definedName name="P1_flight_data_true_72" localSheetId="1">'Leitura Dados de Vôo'!$D$2:$D$37</definedName>
    <definedName name="P1_flight_data_true_73" localSheetId="1">'Leitura Dados de Vôo'!$D$2:$D$36</definedName>
    <definedName name="P1_flight_data_true_74" localSheetId="1">'Leitura Dados de Vôo'!$D$2:$D$95</definedName>
    <definedName name="P1_flight_data_true_75" localSheetId="1">'Leitura Dados de Vôo'!$D$2:$D$42</definedName>
    <definedName name="P1_flight_data_true_76" localSheetId="1">'Leitura Dados de Vôo'!$D$2:$D$112</definedName>
    <definedName name="P1_flight_data_true_77" localSheetId="1">'Leitura Dados de Vôo'!$D$2:$D$38</definedName>
    <definedName name="P1_flight_data_true_78" localSheetId="1">'Leitura Dados de Vôo'!$D$2:$D$39</definedName>
    <definedName name="P1_flight_data_true_79" localSheetId="1">'Leitura Dados de Vôo'!$D$2:$D$39</definedName>
    <definedName name="P1_flight_data_true_8" localSheetId="1">'Leitura Dados de Vôo'!$D$2:$D$50</definedName>
    <definedName name="P1_flight_data_true_80" localSheetId="1">'Leitura Dados de Vôo'!$D$2:$D$39</definedName>
    <definedName name="P1_flight_data_true_81" localSheetId="1">'Leitura Dados de Vôo'!$D$2:$D$180</definedName>
    <definedName name="P1_flight_data_true_9" localSheetId="1">'Leitura Dados de Vôo'!$D$2:$D$51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1"/>
  <c r="F248" i="65" l="1"/>
  <c r="E248"/>
  <c r="F247"/>
  <c r="E247"/>
  <c r="F246"/>
  <c r="E246"/>
  <c r="F245"/>
  <c r="E245"/>
  <c r="F244"/>
  <c r="E244"/>
  <c r="F243"/>
  <c r="E243"/>
  <c r="F242"/>
  <c r="E242"/>
  <c r="F241"/>
  <c r="E241"/>
  <c r="F240"/>
  <c r="E240"/>
  <c r="F239"/>
  <c r="E239"/>
  <c r="F238"/>
  <c r="E238"/>
  <c r="F237"/>
  <c r="E237"/>
  <c r="F236"/>
  <c r="E236"/>
  <c r="F235"/>
  <c r="E235"/>
  <c r="F234"/>
  <c r="E234"/>
  <c r="F233"/>
  <c r="E233"/>
  <c r="F232"/>
  <c r="E232"/>
  <c r="F231"/>
  <c r="E231"/>
  <c r="F230"/>
  <c r="E230"/>
  <c r="F229"/>
  <c r="E229"/>
  <c r="F228"/>
  <c r="E228"/>
  <c r="F227"/>
  <c r="E227"/>
  <c r="F226"/>
  <c r="E226"/>
  <c r="F225"/>
  <c r="E225"/>
  <c r="F224"/>
  <c r="E224"/>
  <c r="F223"/>
  <c r="E223"/>
  <c r="F222"/>
  <c r="E222"/>
  <c r="F221"/>
  <c r="E221"/>
  <c r="F220"/>
  <c r="E220"/>
  <c r="F219"/>
  <c r="E219"/>
  <c r="F218"/>
  <c r="E218"/>
  <c r="F217"/>
  <c r="E217"/>
  <c r="F216"/>
  <c r="E216"/>
  <c r="F215"/>
  <c r="E215"/>
  <c r="F214"/>
  <c r="E214"/>
  <c r="F213"/>
  <c r="E213"/>
  <c r="F212"/>
  <c r="E212"/>
  <c r="F211"/>
  <c r="E211"/>
  <c r="F210"/>
  <c r="E210"/>
  <c r="F209"/>
  <c r="E209"/>
  <c r="F208"/>
  <c r="E208"/>
  <c r="F207"/>
  <c r="E207"/>
  <c r="F206"/>
  <c r="E206"/>
  <c r="F205"/>
  <c r="E205"/>
  <c r="F204"/>
  <c r="E204"/>
  <c r="F203"/>
  <c r="E203"/>
  <c r="F202"/>
  <c r="E202"/>
  <c r="F201"/>
  <c r="E201"/>
  <c r="F200"/>
  <c r="E200"/>
  <c r="F199"/>
  <c r="E199"/>
  <c r="F198"/>
  <c r="E198"/>
  <c r="F197"/>
  <c r="E197"/>
  <c r="F196"/>
  <c r="E196"/>
  <c r="F195"/>
  <c r="E195"/>
  <c r="F194"/>
  <c r="E194"/>
  <c r="F193"/>
  <c r="E193"/>
  <c r="F192"/>
  <c r="E192"/>
  <c r="F191"/>
  <c r="E191"/>
  <c r="F190"/>
  <c r="E190"/>
  <c r="F189"/>
  <c r="E189"/>
  <c r="F188"/>
  <c r="E188"/>
  <c r="F187"/>
  <c r="E187"/>
  <c r="F186"/>
  <c r="E186"/>
  <c r="F185"/>
  <c r="E185"/>
  <c r="F184"/>
  <c r="E184"/>
  <c r="F183"/>
  <c r="E183"/>
  <c r="F182"/>
  <c r="E182"/>
  <c r="F181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B9" i="31" l="1"/>
  <c r="E50" i="65" l="1"/>
  <c r="E42"/>
  <c r="E34"/>
  <c r="E26"/>
  <c r="E18"/>
  <c r="E10"/>
  <c r="E41"/>
  <c r="E25"/>
  <c r="E17"/>
  <c r="E40"/>
  <c r="E16"/>
  <c r="E47"/>
  <c r="E15"/>
  <c r="E30"/>
  <c r="E45"/>
  <c r="E35"/>
  <c r="E49"/>
  <c r="E33"/>
  <c r="E9"/>
  <c r="E48"/>
  <c r="E24"/>
  <c r="E8"/>
  <c r="E39"/>
  <c r="E22"/>
  <c r="E21"/>
  <c r="E32"/>
  <c r="E23"/>
  <c r="E14"/>
  <c r="E12"/>
  <c r="E43"/>
  <c r="E19"/>
  <c r="E31"/>
  <c r="E38"/>
  <c r="E37"/>
  <c r="E46"/>
  <c r="E29"/>
  <c r="E27"/>
  <c r="E13"/>
  <c r="E44"/>
  <c r="E36"/>
  <c r="E28"/>
  <c r="E20"/>
  <c r="E51"/>
  <c r="E11"/>
  <c r="E3"/>
  <c r="E4"/>
  <c r="B7" i="31"/>
  <c r="B4"/>
  <c r="F180" i="65" l="1"/>
  <c r="F176"/>
  <c r="F132"/>
  <c r="F102"/>
  <c r="F166"/>
  <c r="F151"/>
  <c r="F128"/>
  <c r="F124"/>
  <c r="F165"/>
  <c r="F153"/>
  <c r="F130"/>
  <c r="F107"/>
  <c r="F171"/>
  <c r="F148"/>
  <c r="F110"/>
  <c r="F174"/>
  <c r="F159"/>
  <c r="F136"/>
  <c r="F140"/>
  <c r="F97"/>
  <c r="F161"/>
  <c r="F138"/>
  <c r="F115"/>
  <c r="F179"/>
  <c r="F113"/>
  <c r="F154"/>
  <c r="F117"/>
  <c r="F119"/>
  <c r="F96"/>
  <c r="F109"/>
  <c r="F98"/>
  <c r="F162"/>
  <c r="F141"/>
  <c r="F127"/>
  <c r="F168"/>
  <c r="F129"/>
  <c r="F170"/>
  <c r="F147"/>
  <c r="F150"/>
  <c r="F112"/>
  <c r="F133"/>
  <c r="F137"/>
  <c r="F178"/>
  <c r="F116"/>
  <c r="F158"/>
  <c r="F120"/>
  <c r="F108"/>
  <c r="F145"/>
  <c r="F99"/>
  <c r="F172"/>
  <c r="F118"/>
  <c r="F103"/>
  <c r="F167"/>
  <c r="F144"/>
  <c r="F156"/>
  <c r="F105"/>
  <c r="F169"/>
  <c r="F146"/>
  <c r="F123"/>
  <c r="F101"/>
  <c r="F126"/>
  <c r="F111"/>
  <c r="F175"/>
  <c r="F152"/>
  <c r="F164"/>
  <c r="F177"/>
  <c r="F131"/>
  <c r="F134"/>
  <c r="F160"/>
  <c r="F121"/>
  <c r="F139"/>
  <c r="F142"/>
  <c r="F104"/>
  <c r="F125"/>
  <c r="F106"/>
  <c r="F157"/>
  <c r="F135"/>
  <c r="F100"/>
  <c r="F114"/>
  <c r="F155"/>
  <c r="F173"/>
  <c r="F143"/>
  <c r="F149"/>
  <c r="F122"/>
  <c r="F163"/>
  <c r="F92"/>
  <c r="F89"/>
  <c r="F93"/>
  <c r="F95"/>
  <c r="F90"/>
  <c r="F94"/>
  <c r="F91"/>
  <c r="F84"/>
  <c r="F56"/>
  <c r="F61"/>
  <c r="F88"/>
  <c r="F78"/>
  <c r="F55"/>
  <c r="F64"/>
  <c r="F60"/>
  <c r="F63"/>
  <c r="F58"/>
  <c r="F74"/>
  <c r="F62"/>
  <c r="F87"/>
  <c r="F67"/>
  <c r="F76"/>
  <c r="F86"/>
  <c r="F65"/>
  <c r="F53"/>
  <c r="F70"/>
  <c r="F85"/>
  <c r="F72"/>
  <c r="F52"/>
  <c r="F75"/>
  <c r="F81"/>
  <c r="F71"/>
  <c r="F54"/>
  <c r="F66"/>
  <c r="F82"/>
  <c r="F69"/>
  <c r="F68"/>
  <c r="F83"/>
  <c r="F80"/>
  <c r="F79"/>
  <c r="F73"/>
  <c r="F59"/>
  <c r="F77"/>
  <c r="F57"/>
  <c r="F51"/>
  <c r="F21"/>
  <c r="F41"/>
  <c r="F49"/>
  <c r="F17"/>
  <c r="F35"/>
  <c r="F40"/>
  <c r="F48"/>
  <c r="F29"/>
  <c r="F47"/>
  <c r="F12"/>
  <c r="F42"/>
  <c r="F39"/>
  <c r="F33"/>
  <c r="F25"/>
  <c r="F19"/>
  <c r="F46"/>
  <c r="F50"/>
  <c r="F43"/>
  <c r="F23"/>
  <c r="F8"/>
  <c r="F11"/>
  <c r="F26"/>
  <c r="F13"/>
  <c r="F10"/>
  <c r="F18"/>
  <c r="F16"/>
  <c r="F30"/>
  <c r="F24"/>
  <c r="F20"/>
  <c r="F22"/>
  <c r="F15"/>
  <c r="F45"/>
  <c r="F37"/>
  <c r="F31"/>
  <c r="F27"/>
  <c r="F28"/>
  <c r="F14"/>
  <c r="F9"/>
  <c r="F38"/>
  <c r="F34"/>
  <c r="F32"/>
  <c r="F36"/>
  <c r="F44"/>
  <c r="F4"/>
</calcChain>
</file>

<file path=xl/connections.xml><?xml version="1.0" encoding="utf-8"?>
<connections xmlns="http://schemas.openxmlformats.org/spreadsheetml/2006/main">
  <connection id="1" name="flight_data_raw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" name="flight_data_raw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" name="flight_data_raw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" name="flight_data_raw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" name="flight_data_raw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" name="flight_data_raw3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" name="flight_data_raw3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" name="flight_data_raw4" type="6" refreshedVersion="5" background="1" saveData="1">
    <textPr prompt="0" codePage="437" sourceFile="C:\Leitor_MAU\flight_data_raw.txt" thousands="." tab="0">
      <textFields>
        <textField/>
      </textFields>
    </textPr>
  </connection>
  <connection id="9" name="flight_data_raw4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" name="flight_data_raw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" name="flight_data_raw4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" name="flight_data_raw4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" name="flight_data_raw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" name="flight_data_raw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" name="flight_data_raw5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" name="flight_data_raw6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" name="flight_data_raw6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" name="flight_data_raw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" name="flight_data_raw7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" name="flight_data_raw7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" name="flight_data_true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2" name="flight_data_true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3" name="flight_data_true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4" name="flight_data_true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5" name="flight_data_true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6" name="flight_data_true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7" name="flight_data_true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8" name="flight_data_true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9" name="flight_data_true1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0" name="flight_data_true1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1" name="flight_data_true1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2" name="flight_data_true1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3" name="flight_data_true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4" name="flight_data_true2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5" name="flight_data_true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6" name="flight_data_true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7" name="flight_data_true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8" name="flight_data_true2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39" name="flight_data_true2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0" name="flight_data_true2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1" name="flight_data_true2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2" name="flight_data_true2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3" name="flight_data_true2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4" name="flight_data_true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5" name="flight_data_true3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6" name="flight_data_true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7" name="flight_data_true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8" name="flight_data_true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49" name="flight_data_true3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0" name="flight_data_true3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" name="flight_data_true3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2" name="flight_data_true3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3" name="flight_data_true3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" name="flight_data_true3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" name="flight_data_true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6" name="flight_data_true4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" name="flight_data_true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8" name="flight_data_true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9" name="flight_data_true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" name="flight_data_true4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1" name="flight_data_true4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2" name="flight_data_true4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" name="flight_data_true4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4" name="flight_data_true4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" name="flight_data_true4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" name="flight_data_true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" name="flight_data_true5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" name="flight_data_true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" name="flight_data_true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" name="flight_data_true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" name="flight_data_true5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" name="flight_data_true5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" name="flight_data_true5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" name="flight_data_true5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" name="flight_data_true58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76" name="flight_data_true59" type="6" refreshedVersion="5" background="1" saveData="1">
    <textPr prompt="0" codePage="437" sourceFile="C:\Leitor_MAU\flight_data_true.txt" thousands="." tab="0">
      <textFields>
        <textField/>
      </textFields>
    </textPr>
  </connection>
  <connection id="77" name="flight_data_true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" name="flight_data_true6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" name="flight_data_true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" name="flight_data_true6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" name="flight_data_true6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" name="flight_data_true6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" name="flight_data_true6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" name="flight_data_true6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" name="flight_data_true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" name="flight_data_true7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" name="flight_data_true7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" name="flight_data_true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" name="flight_data_true8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" name="flight_data_true8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" name="flight_data_true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" name="P1_flight_data_true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93" name="P1_flight_data_true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94" name="P1_flight_data_true1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95" name="P1_flight_data_true1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96" name="P1_flight_data_true15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97" name="P1_flight_data_true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98" name="P1_flight_data_true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99" name="P1_flight_data_true6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00" name="P1_flight_data_true8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<sst xmlns="http://schemas.openxmlformats.org/spreadsheetml/2006/main" count="31" uniqueCount="29">
  <si>
    <t>P (input)</t>
  </si>
  <si>
    <t>h (output)</t>
  </si>
  <si>
    <t>h (input)</t>
  </si>
  <si>
    <t>P (output)</t>
  </si>
  <si>
    <t>EQ1_Tb</t>
  </si>
  <si>
    <t>coef1</t>
  </si>
  <si>
    <t>EQ1_Lb</t>
  </si>
  <si>
    <t>index1</t>
  </si>
  <si>
    <t>EQ1_R</t>
  </si>
  <si>
    <t>coef2</t>
  </si>
  <si>
    <t>EQ1_g</t>
  </si>
  <si>
    <t>index2</t>
  </si>
  <si>
    <t>EQ1_M</t>
  </si>
  <si>
    <t>EQ1_Pb</t>
  </si>
  <si>
    <t>Altitude (m)</t>
  </si>
  <si>
    <t>Data:</t>
  </si>
  <si>
    <t>Pressão no Solo (Pa)</t>
  </si>
  <si>
    <t>Pressão no Apogeu (Pa)</t>
  </si>
  <si>
    <t>Apogeu (m)</t>
  </si>
  <si>
    <t>Altímetro</t>
  </si>
  <si>
    <t>Altitude</t>
  </si>
  <si>
    <t>Altura</t>
  </si>
  <si>
    <t>Tempo (s)</t>
  </si>
  <si>
    <t>Vôo Nº:</t>
  </si>
  <si>
    <t>Equação Barométrica</t>
  </si>
  <si>
    <t>Pressao</t>
  </si>
  <si>
    <t>Dados Brutos</t>
  </si>
  <si>
    <t>MAU-14</t>
  </si>
  <si>
    <t>Netuno-R-Beta/Paraná-VII</t>
  </si>
</sst>
</file>

<file path=xl/styles.xml><?xml version="1.0" encoding="utf-8"?>
<styleSheet xmlns="http://schemas.openxmlformats.org/spreadsheetml/2006/main">
  <numFmts count="1">
    <numFmt numFmtId="164" formatCode="0.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ck">
        <color rgb="FFC00000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/>
      <diagonal/>
    </border>
    <border>
      <left style="medium">
        <color theme="5"/>
      </left>
      <right style="thick">
        <color rgb="FFC00000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ck">
        <color rgb="FFC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4" fontId="0" fillId="0" borderId="0" xfId="0" applyNumberFormat="1" applyBorder="1"/>
    <xf numFmtId="0" fontId="0" fillId="0" borderId="0" xfId="0" applyBorder="1"/>
    <xf numFmtId="0" fontId="1" fillId="0" borderId="5" xfId="0" applyFont="1" applyBorder="1"/>
    <xf numFmtId="0" fontId="0" fillId="0" borderId="7" xfId="0" applyBorder="1"/>
    <xf numFmtId="2" fontId="0" fillId="0" borderId="5" xfId="0" applyNumberFormat="1" applyBorder="1" applyAlignment="1"/>
    <xf numFmtId="0" fontId="0" fillId="0" borderId="8" xfId="0" applyBorder="1"/>
    <xf numFmtId="0" fontId="0" fillId="0" borderId="9" xfId="0" applyBorder="1"/>
    <xf numFmtId="0" fontId="0" fillId="0" borderId="11" xfId="0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164" fontId="0" fillId="0" borderId="16" xfId="0" applyNumberFormat="1" applyBorder="1"/>
    <xf numFmtId="0" fontId="1" fillId="0" borderId="0" xfId="0" applyFont="1" applyBorder="1"/>
    <xf numFmtId="0" fontId="1" fillId="2" borderId="16" xfId="0" applyFont="1" applyFill="1" applyBorder="1" applyAlignment="1"/>
    <xf numFmtId="0" fontId="0" fillId="0" borderId="4" xfId="0" applyBorder="1" applyAlignment="1">
      <alignment horizontal="center"/>
    </xf>
    <xf numFmtId="0" fontId="1" fillId="2" borderId="6" xfId="0" applyFont="1" applyFill="1" applyBorder="1" applyAlignment="1"/>
    <xf numFmtId="0" fontId="0" fillId="0" borderId="18" xfId="0" applyBorder="1" applyAlignment="1"/>
    <xf numFmtId="2" fontId="0" fillId="0" borderId="21" xfId="0" applyNumberFormat="1" applyBorder="1" applyAlignment="1"/>
    <xf numFmtId="164" fontId="0" fillId="0" borderId="22" xfId="0" applyNumberFormat="1" applyBorder="1"/>
    <xf numFmtId="0" fontId="1" fillId="0" borderId="23" xfId="0" applyFont="1" applyBorder="1"/>
    <xf numFmtId="164" fontId="0" fillId="0" borderId="24" xfId="0" applyNumberFormat="1" applyBorder="1"/>
    <xf numFmtId="0" fontId="1" fillId="0" borderId="2" xfId="0" applyFont="1" applyBorder="1" applyAlignment="1">
      <alignment horizontal="center"/>
    </xf>
    <xf numFmtId="49" fontId="0" fillId="0" borderId="10" xfId="0" applyNumberFormat="1" applyBorder="1"/>
    <xf numFmtId="49" fontId="0" fillId="0" borderId="13" xfId="0" applyNumberFormat="1" applyBorder="1"/>
    <xf numFmtId="0" fontId="1" fillId="2" borderId="15" xfId="0" applyFont="1" applyFill="1" applyBorder="1" applyAlignment="1">
      <alignment vertical="center"/>
    </xf>
    <xf numFmtId="3" fontId="0" fillId="0" borderId="0" xfId="0" applyNumberFormat="1"/>
    <xf numFmtId="4" fontId="0" fillId="0" borderId="0" xfId="0" applyNumberFormat="1"/>
    <xf numFmtId="0" fontId="0" fillId="0" borderId="0" xfId="0" applyNumberFormat="1"/>
    <xf numFmtId="0" fontId="1" fillId="0" borderId="0" xfId="0" applyFont="1" applyBorder="1" applyAlignment="1"/>
    <xf numFmtId="0" fontId="0" fillId="0" borderId="13" xfId="0" applyBorder="1"/>
    <xf numFmtId="0" fontId="0" fillId="0" borderId="25" xfId="0" applyBorder="1"/>
    <xf numFmtId="0" fontId="1" fillId="0" borderId="26" xfId="0" applyFont="1" applyBorder="1" applyAlignment="1">
      <alignment horizontal="center"/>
    </xf>
    <xf numFmtId="164" fontId="2" fillId="0" borderId="27" xfId="0" applyNumberFormat="1" applyFont="1" applyBorder="1"/>
    <xf numFmtId="164" fontId="3" fillId="0" borderId="28" xfId="0" applyNumberFormat="1" applyFont="1" applyBorder="1"/>
    <xf numFmtId="14" fontId="0" fillId="0" borderId="3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5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6.5560155850650476E-2"/>
          <c:y val="0.10727404193781635"/>
          <c:w val="0.9165826753093167"/>
          <c:h val="0.86091106290672448"/>
        </c:manualLayout>
      </c:layout>
      <c:scatterChart>
        <c:scatterStyle val="lineMarker"/>
        <c:ser>
          <c:idx val="0"/>
          <c:order val="0"/>
          <c:tx>
            <c:strRef>
              <c:f>'Leitura Dados de Vôo'!$C$6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Vôo'!$F$8:$F$248</c:f>
              <c:numCache>
                <c:formatCode>0.0</c:formatCode>
                <c:ptCount val="241"/>
                <c:pt idx="0">
                  <c:v>0</c:v>
                </c:pt>
                <c:pt idx="1">
                  <c:v>-0.24145736573427712</c:v>
                </c:pt>
                <c:pt idx="2">
                  <c:v>-5.777133251053101</c:v>
                </c:pt>
                <c:pt idx="3">
                  <c:v>-93.951669731203651</c:v>
                </c:pt>
                <c:pt idx="4">
                  <c:v>-146.55663565396742</c:v>
                </c:pt>
                <c:pt idx="5">
                  <c:v>-154.62674925488136</c:v>
                </c:pt>
                <c:pt idx="6">
                  <c:v>-118.7402345498806</c:v>
                </c:pt>
                <c:pt idx="7">
                  <c:v>-24.527132220812973</c:v>
                </c:pt>
                <c:pt idx="8">
                  <c:v>163.75010983754578</c:v>
                </c:pt>
                <c:pt idx="9">
                  <c:v>341.50662437248945</c:v>
                </c:pt>
                <c:pt idx="10">
                  <c:v>307.49955173467913</c:v>
                </c:pt>
                <c:pt idx="11">
                  <c:v>293.6303526733285</c:v>
                </c:pt>
                <c:pt idx="12">
                  <c:v>279.53190186257905</c:v>
                </c:pt>
                <c:pt idx="13">
                  <c:v>278.04850392565129</c:v>
                </c:pt>
                <c:pt idx="14">
                  <c:v>267.18058458118492</c:v>
                </c:pt>
                <c:pt idx="15">
                  <c:v>262.98422343879099</c:v>
                </c:pt>
                <c:pt idx="16">
                  <c:v>268.90845604067329</c:v>
                </c:pt>
                <c:pt idx="17">
                  <c:v>266.43883208447426</c:v>
                </c:pt>
                <c:pt idx="18">
                  <c:v>269.40245292947668</c:v>
                </c:pt>
                <c:pt idx="19">
                  <c:v>271.13070261525888</c:v>
                </c:pt>
                <c:pt idx="20">
                  <c:v>272.36601030548752</c:v>
                </c:pt>
                <c:pt idx="21">
                  <c:v>272.36601030548752</c:v>
                </c:pt>
                <c:pt idx="22">
                  <c:v>271.87279800507406</c:v>
                </c:pt>
                <c:pt idx="23">
                  <c:v>271.87279800507406</c:v>
                </c:pt>
                <c:pt idx="24">
                  <c:v>274.34188629272751</c:v>
                </c:pt>
                <c:pt idx="25">
                  <c:v>274.836147659738</c:v>
                </c:pt>
                <c:pt idx="26">
                  <c:v>275.08328736835404</c:v>
                </c:pt>
                <c:pt idx="27">
                  <c:v>274.34188629272751</c:v>
                </c:pt>
                <c:pt idx="28">
                  <c:v>273.84764899048753</c:v>
                </c:pt>
                <c:pt idx="29">
                  <c:v>272.61308988295775</c:v>
                </c:pt>
                <c:pt idx="30">
                  <c:v>270.88458783805447</c:v>
                </c:pt>
                <c:pt idx="31">
                  <c:v>268.90845604067329</c:v>
                </c:pt>
                <c:pt idx="32">
                  <c:v>276.81343382792068</c:v>
                </c:pt>
                <c:pt idx="33">
                  <c:v>271.13070261525888</c:v>
                </c:pt>
                <c:pt idx="34">
                  <c:v>269.40245292947668</c:v>
                </c:pt>
                <c:pt idx="35">
                  <c:v>266.43883208447426</c:v>
                </c:pt>
                <c:pt idx="36">
                  <c:v>264.21761213762954</c:v>
                </c:pt>
                <c:pt idx="37">
                  <c:v>259.52986207372408</c:v>
                </c:pt>
                <c:pt idx="38">
                  <c:v>258.05031117299211</c:v>
                </c:pt>
                <c:pt idx="39">
                  <c:v>255.8299979106315</c:v>
                </c:pt>
                <c:pt idx="40">
                  <c:v>256.8167438736383</c:v>
                </c:pt>
                <c:pt idx="41">
                  <c:v>251.88489951456506</c:v>
                </c:pt>
                <c:pt idx="42">
                  <c:v>246.95544886704772</c:v>
                </c:pt>
                <c:pt idx="43">
                  <c:v>247.69485295792072</c:v>
                </c:pt>
                <c:pt idx="44">
                  <c:v>243.26016174357426</c:v>
                </c:pt>
                <c:pt idx="45">
                  <c:v>242.2747318691296</c:v>
                </c:pt>
                <c:pt idx="46">
                  <c:v>238.82740567861163</c:v>
                </c:pt>
                <c:pt idx="47">
                  <c:v>237.34994147666555</c:v>
                </c:pt>
                <c:pt idx="48">
                  <c:v>235.87269210163402</c:v>
                </c:pt>
                <c:pt idx="49">
                  <c:v>231.44315736428996</c:v>
                </c:pt>
                <c:pt idx="50">
                  <c:v>228.24458148735118</c:v>
                </c:pt>
                <c:pt idx="51">
                  <c:v>229.47468383031503</c:v>
                </c:pt>
                <c:pt idx="52">
                  <c:v>225.04701208565518</c:v>
                </c:pt>
                <c:pt idx="53">
                  <c:v>222.83482375296023</c:v>
                </c:pt>
                <c:pt idx="54">
                  <c:v>220.3754504176203</c:v>
                </c:pt>
                <c:pt idx="55">
                  <c:v>219.14737289005154</c:v>
                </c:pt>
                <c:pt idx="56">
                  <c:v>217.67276705064535</c:v>
                </c:pt>
                <c:pt idx="57">
                  <c:v>213.25115612011416</c:v>
                </c:pt>
                <c:pt idx="58">
                  <c:v>212.2686318527393</c:v>
                </c:pt>
                <c:pt idx="59">
                  <c:v>208.33948411249287</c:v>
                </c:pt>
                <c:pt idx="60">
                  <c:v>205.88453768857119</c:v>
                </c:pt>
                <c:pt idx="61">
                  <c:v>205.14909207211633</c:v>
                </c:pt>
                <c:pt idx="62">
                  <c:v>204.9027250723633</c:v>
                </c:pt>
                <c:pt idx="63">
                  <c:v>201.95785594069582</c:v>
                </c:pt>
                <c:pt idx="64">
                  <c:v>197.54215078223376</c:v>
                </c:pt>
                <c:pt idx="65">
                  <c:v>193.8647823369264</c:v>
                </c:pt>
                <c:pt idx="66">
                  <c:v>192.88412952144893</c:v>
                </c:pt>
                <c:pt idx="67">
                  <c:v>192.63805949227947</c:v>
                </c:pt>
                <c:pt idx="68">
                  <c:v>189.20752338046293</c:v>
                </c:pt>
                <c:pt idx="69">
                  <c:v>186.75719075912946</c:v>
                </c:pt>
                <c:pt idx="70">
                  <c:v>184.55147511216262</c:v>
                </c:pt>
                <c:pt idx="71">
                  <c:v>182.347158314171</c:v>
                </c:pt>
                <c:pt idx="72">
                  <c:v>179.40881206727556</c:v>
                </c:pt>
                <c:pt idx="73">
                  <c:v>177.93903687121508</c:v>
                </c:pt>
                <c:pt idx="74">
                  <c:v>176.22656104749046</c:v>
                </c:pt>
                <c:pt idx="75">
                  <c:v>175.00288333515925</c:v>
                </c:pt>
                <c:pt idx="76">
                  <c:v>170.59886172755512</c:v>
                </c:pt>
                <c:pt idx="77">
                  <c:v>167.66298658563767</c:v>
                </c:pt>
                <c:pt idx="78">
                  <c:v>165.46232531128533</c:v>
                </c:pt>
                <c:pt idx="79">
                  <c:v>165.46232531128533</c:v>
                </c:pt>
                <c:pt idx="80">
                  <c:v>163.75010983754578</c:v>
                </c:pt>
                <c:pt idx="81">
                  <c:v>160.57367000933937</c:v>
                </c:pt>
                <c:pt idx="82">
                  <c:v>157.39638440000033</c:v>
                </c:pt>
                <c:pt idx="83">
                  <c:v>154.46431479418447</c:v>
                </c:pt>
                <c:pt idx="84">
                  <c:v>154.46431479418447</c:v>
                </c:pt>
                <c:pt idx="85">
                  <c:v>153.73165886028107</c:v>
                </c:pt>
                <c:pt idx="86">
                  <c:v>149.82505086979631</c:v>
                </c:pt>
                <c:pt idx="87">
                  <c:v>145.67500446619749</c:v>
                </c:pt>
                <c:pt idx="88">
                  <c:v>144.94206349446051</c:v>
                </c:pt>
                <c:pt idx="89">
                  <c:v>142.74630837574716</c:v>
                </c:pt>
                <c:pt idx="90">
                  <c:v>140.30621882473872</c:v>
                </c:pt>
                <c:pt idx="91">
                  <c:v>138.35530146141207</c:v>
                </c:pt>
                <c:pt idx="92">
                  <c:v>136.16096610404838</c:v>
                </c:pt>
                <c:pt idx="93">
                  <c:v>134.2099263314301</c:v>
                </c:pt>
                <c:pt idx="94">
                  <c:v>131.77188114964895</c:v>
                </c:pt>
                <c:pt idx="95">
                  <c:v>129.09079696251126</c:v>
                </c:pt>
                <c:pt idx="96">
                  <c:v>128.3599644184261</c:v>
                </c:pt>
                <c:pt idx="97">
                  <c:v>126.16778136826031</c:v>
                </c:pt>
                <c:pt idx="98">
                  <c:v>123.48908708203419</c:v>
                </c:pt>
                <c:pt idx="99">
                  <c:v>119.34884185664635</c:v>
                </c:pt>
                <c:pt idx="100">
                  <c:v>117.15768215674075</c:v>
                </c:pt>
                <c:pt idx="101">
                  <c:v>117.15768215674075</c:v>
                </c:pt>
                <c:pt idx="102">
                  <c:v>114.72462904292468</c:v>
                </c:pt>
                <c:pt idx="103">
                  <c:v>113.26416157616734</c:v>
                </c:pt>
                <c:pt idx="104">
                  <c:v>107.1831128255526</c:v>
                </c:pt>
                <c:pt idx="105">
                  <c:v>106.20986031807263</c:v>
                </c:pt>
                <c:pt idx="106">
                  <c:v>104.75152633350683</c:v>
                </c:pt>
                <c:pt idx="107">
                  <c:v>102.56350309235881</c:v>
                </c:pt>
                <c:pt idx="108">
                  <c:v>100.13301844895761</c:v>
                </c:pt>
                <c:pt idx="109">
                  <c:v>98.918450021817193</c:v>
                </c:pt>
                <c:pt idx="110">
                  <c:v>97.946899478756677</c:v>
                </c:pt>
                <c:pt idx="111">
                  <c:v>94.545376144281704</c:v>
                </c:pt>
                <c:pt idx="112">
                  <c:v>91.873155667251126</c:v>
                </c:pt>
                <c:pt idx="113">
                  <c:v>87.989280974410804</c:v>
                </c:pt>
                <c:pt idx="114">
                  <c:v>87.989280974410804</c:v>
                </c:pt>
                <c:pt idx="115">
                  <c:v>85.31969018801567</c:v>
                </c:pt>
                <c:pt idx="116">
                  <c:v>83.135833579877271</c:v>
                </c:pt>
                <c:pt idx="117">
                  <c:v>80.467513126147765</c:v>
                </c:pt>
                <c:pt idx="118">
                  <c:v>78.527106376846518</c:v>
                </c:pt>
                <c:pt idx="119">
                  <c:v>76.344703943621653</c:v>
                </c:pt>
                <c:pt idx="120">
                  <c:v>73.192663172882703</c:v>
                </c:pt>
                <c:pt idx="121">
                  <c:v>70.769169528620864</c:v>
                </c:pt>
                <c:pt idx="122">
                  <c:v>69.557183364626439</c:v>
                </c:pt>
                <c:pt idx="123">
                  <c:v>69.314985515211447</c:v>
                </c:pt>
                <c:pt idx="124">
                  <c:v>64.470415737261533</c:v>
                </c:pt>
                <c:pt idx="125">
                  <c:v>61.564050075681735</c:v>
                </c:pt>
                <c:pt idx="126">
                  <c:v>59.870113704706682</c:v>
                </c:pt>
                <c:pt idx="127">
                  <c:v>56.965058202817431</c:v>
                </c:pt>
                <c:pt idx="128">
                  <c:v>53.818090345642872</c:v>
                </c:pt>
                <c:pt idx="129">
                  <c:v>52.609934390951253</c:v>
                </c:pt>
                <c:pt idx="130">
                  <c:v>51.399194747699539</c:v>
                </c:pt>
                <c:pt idx="131">
                  <c:v>49.22258802212616</c:v>
                </c:pt>
                <c:pt idx="132">
                  <c:v>46.320562124664889</c:v>
                </c:pt>
                <c:pt idx="133">
                  <c:v>42.694643991265139</c:v>
                </c:pt>
                <c:pt idx="134">
                  <c:v>42.210619629056964</c:v>
                </c:pt>
                <c:pt idx="135">
                  <c:v>40.760500187565299</c:v>
                </c:pt>
                <c:pt idx="136">
                  <c:v>37.13655656580795</c:v>
                </c:pt>
                <c:pt idx="137">
                  <c:v>34.721611264404146</c:v>
                </c:pt>
                <c:pt idx="138">
                  <c:v>34.4802388964697</c:v>
                </c:pt>
                <c:pt idx="139">
                  <c:v>31.341103140192786</c:v>
                </c:pt>
                <c:pt idx="140">
                  <c:v>28.444156396618041</c:v>
                </c:pt>
                <c:pt idx="141">
                  <c:v>25.305969330521066</c:v>
                </c:pt>
                <c:pt idx="142">
                  <c:v>23.376023603781164</c:v>
                </c:pt>
                <c:pt idx="143">
                  <c:v>23.134919336344296</c:v>
                </c:pt>
                <c:pt idx="144">
                  <c:v>20.240299846860239</c:v>
                </c:pt>
                <c:pt idx="145">
                  <c:v>19.034299536394997</c:v>
                </c:pt>
                <c:pt idx="146">
                  <c:v>14.453521417503111</c:v>
                </c:pt>
                <c:pt idx="147">
                  <c:v>13.00643354829424</c:v>
                </c:pt>
                <c:pt idx="148">
                  <c:v>10.837996749627109</c:v>
                </c:pt>
                <c:pt idx="149">
                  <c:v>8.9098781074631006</c:v>
                </c:pt>
                <c:pt idx="150">
                  <c:v>6.9821233928859101</c:v>
                </c:pt>
                <c:pt idx="151">
                  <c:v>3.8514286334740291</c:v>
                </c:pt>
                <c:pt idx="152">
                  <c:v>3.6107848791281185</c:v>
                </c:pt>
                <c:pt idx="153">
                  <c:v>-0.24145736573427712</c:v>
                </c:pt>
                <c:pt idx="154">
                  <c:v>0.23965433967339322</c:v>
                </c:pt>
                <c:pt idx="155">
                  <c:v>0</c:v>
                </c:pt>
                <c:pt idx="156">
                  <c:v>0</c:v>
                </c:pt>
                <c:pt idx="157">
                  <c:v>-0.48200472177302345</c:v>
                </c:pt>
                <c:pt idx="158">
                  <c:v>0</c:v>
                </c:pt>
                <c:pt idx="159">
                  <c:v>-0.24145736573427712</c:v>
                </c:pt>
                <c:pt idx="160">
                  <c:v>-0.24145736573427712</c:v>
                </c:pt>
                <c:pt idx="161">
                  <c:v>-0.24145736573427712</c:v>
                </c:pt>
                <c:pt idx="162">
                  <c:v>-0.24145736573427712</c:v>
                </c:pt>
                <c:pt idx="163">
                  <c:v>-0.24145736573427712</c:v>
                </c:pt>
                <c:pt idx="164">
                  <c:v>-0.48200472177302345</c:v>
                </c:pt>
                <c:pt idx="165">
                  <c:v>-0.72345069516018157</c:v>
                </c:pt>
                <c:pt idx="166">
                  <c:v>-0.24145736573427712</c:v>
                </c:pt>
                <c:pt idx="167">
                  <c:v>-0.48200472177302345</c:v>
                </c:pt>
                <c:pt idx="168">
                  <c:v>-0.72345069516018157</c:v>
                </c:pt>
                <c:pt idx="169">
                  <c:v>-0.48200472177302345</c:v>
                </c:pt>
                <c:pt idx="170">
                  <c:v>-0.72345069516018157</c:v>
                </c:pt>
                <c:pt idx="171">
                  <c:v>-0.48200472177302345</c:v>
                </c:pt>
                <c:pt idx="172">
                  <c:v>-0.48200472177302345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</c:ser>
        <c:dLbls/>
        <c:axId val="113247360"/>
        <c:axId val="113248896"/>
      </c:scatterChart>
      <c:valAx>
        <c:axId val="113247360"/>
        <c:scaling>
          <c:orientation val="minMax"/>
          <c:max val="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248896"/>
        <c:crosses val="autoZero"/>
        <c:crossBetween val="midCat"/>
        <c:majorUnit val="1"/>
      </c:valAx>
      <c:valAx>
        <c:axId val="1132488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247360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85725</xdr:colOff>
      <xdr:row>3</xdr:row>
      <xdr:rowOff>76200</xdr:rowOff>
    </xdr:from>
    <xdr:to>
      <xdr:col>28</xdr:col>
      <xdr:colOff>533400</xdr:colOff>
      <xdr:row>32</xdr:row>
      <xdr:rowOff>104776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P1_flight_data_true_22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1_flight_data_true_4" growShrinkType="overwriteClear" adjustColumnWidth="0" connectionId="9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1_flight_data_raw_66" growShrinkType="overwriteClear" adjustColumnWidth="0" connectionId="2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1_flight_data_true_17" growShrinkType="overwriteClear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1_flight_data_true_78" growShrinkType="overwriteClear" adjustColumnWidth="0" connectionId="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1_flight_data_true_19" growShrinkType="overwriteClear" adjustColumnWidth="0" connectionId="8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1_flight_data_raw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1_flight_data_true_34" growShrinkType="overwriteClear" adjustColumnWidth="0" connectionId="3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1_flight_data_true_15" growShrinkType="overwriteClear" adjustColumnWidth="0" connectionId="5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1_flight_data_true_59" growShrinkType="overwriteClear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1_flight_data_true_62" growShrinkType="overwriteClear" adjustColumnWidth="0" connectionId="6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1_flight_data_true_65" growShrinkType="overwriteClear" adjustColumnWidt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1_flight_data_true_68" growShrinkType="overwriteClear" adjustColumnWidth="0" connectionId="7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1_flight_data_true_77" growShrinkType="overwriteClear" adjustColumnWidth="0" connectionId="8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1_flight_data_raw_8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1_flight_data_true" growShrinkType="overwriteClear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1_flight_data_true_24" growShrinkType="overwriteClear" adjustColumnWidt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1_flight_data_raw_40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1_flight_data_true_9" growShrinkType="overwriteClear" adjustColumnWidth="0" connectionId="9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1_flight_data_true_79" growShrinkType="overwriteClear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1_flight_data_true_47" growShrinkType="overwriteClear" adjustColumnWidth="0" connectionId="5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1_flight_data_true_52" growShrinkType="overwriteClear" adjustColumnWidth="0" connectionId="5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1_flight_data_true_21" growShrinkType="overwriteClear" adjustColumnWidth="0" connectionId="2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1_flight_data_true_64" growShrinkType="overwriteClear" adjustColumnWidth="0" connectionId="7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1_flight_data_true_39" growShrinkType="overwriteClear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1_flight_data_true_74" growShrinkType="overwriteClear" adjustColumnWidth="0" connectionId="8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1_flight_data_true_26" growShrinkType="overwriteClear" adjustColumnWidth="0" connectionId="2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1_flight_data_true_29" growShrinkType="overwriteClear" adjustColumnWidth="0" connectionId="3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1_flight_data_true_2" growShrinkType="overwriteClear" adjustColumnWidth="0" connectionId="9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1_flight_data_true_81" growShrinkType="overwriteClear" adjustColumnWidth="0" connectionId="7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1_flight_data_true_20" growShrinkType="overwriteClear" adjustColumnWidth="0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1_flight_data_true_35" growShrinkType="overwriteClear" adjustColumnWidth="0" connectionId="3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1_flight_data_true_54" growShrinkType="overwriteClear" adjustColumnWidth="0" connectionId="5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1_flight_data_raw_64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1_flight_data_true_41" growShrinkType="overwriteClear" adjustColumnWidth="0" connectionId="4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1_flight_data_true_38" growShrinkType="overwriteClear" adjustColumnWidth="0" connectionId="4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1_flight_data_true_49" growShrinkType="overwriteClear" adjustColumnWidth="0" connectionId="5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1_flight_data_true_12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1_flight_data_raw_49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1_flight_data_raw_65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1_flight_data_true_45" growShrinkType="overwriteClear" adjustColumnWidt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1_flight_data_true_61" growShrinkType="overwriteClear" adjustColumnWidth="0" connectionId="6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1_flight_data_true_40" growShrinkType="overwriteClear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1_flight_data_raw_38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1_flight_data_true_71" growShrinkType="overwriteClear" adjustColumnWidth="0" connectionId="8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1_flight_data_true_53" growShrinkType="overwriteClear" adjustColumnWidth="0" connectionId="5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1_flight_data_raw_43" growShrinkType="overwriteClear" adjustColumnWidth="0" connectionId="1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1_flight_data_raw_1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1_flight_data_true_30" growShrinkType="overwriteClear" adjustColumnWidth="0" connectionId="3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1_flight_data_true_3" growShrinkType="overwriteClear" adjustColumnWidth="0" connectionId="10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1_flight_data_true_42" growShrinkType="overwriteClear" adjustColumnWidth="0" connectionId="4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1_flight_data_true_25" growShrinkType="overwriteClear" adjustColumnWidth="0" connectionId="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1_flight_data_raw_58" growShrinkType="overwriteClear" adjustColumnWidth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1_flight_data_true_60" growShrinkType="overwriteClear" adjustColumnWidt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1_flight_data_true_76" growShrinkType="overwriteClear" adjustColumnWidth="0" connectionId="8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1_flight_data_true_69" growShrinkType="overwriteClear" adjustColumnWidth="0" connectionId="7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1_flight_data_true_43" growShrinkType="overwriteClear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1_flight_data_raw_3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1_flight_data_raw_54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1_flight_data_true_28" growShrinkType="overwriteClear" adjustColumnWidth="0" connectionId="3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1_flight_data_raw_50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1_flight_data_raw_41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1_flight_data_true_51" growShrinkType="overwriteClear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1_flight_data_true_27" growShrinkType="overwriteClear" adjustColumnWidth="0" connectionId="2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1_flight_data_true_72" growShrinkType="overwriteClear" adjustColumnWidth="0" connectionId="8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1_flight_data_raw_23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1_flight_data_true_46" growShrinkType="overwriteClear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1_flight_data_true_57" growShrinkType="overwriteClear" adjustColumnWidth="0" connectionId="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1_flight_data_true_31" growShrinkType="overwriteClear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1_flight_data_true_33" growShrinkType="overwriteClear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1_flight_data_true_32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1_flight_data_true_5" growShrinkType="overwriteClear" adjustColumnWidth="0" connectionId="9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1_flight_data_true_66" growShrinkType="overwriteClear" adjustColumnWidth="0" connectionId="7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1_flight_data_true_23" growShrinkType="overwriteClear" adjustColumnWidth="0" connectionId="2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1_flight_data_true_56" growShrinkType="overwriteClear" adjustColumnWidth="0" connectionId="6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1_flight_data_true_8" growShrinkType="overwriteClear" adjustColumnWidth="0" connectionId="9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1_flight_data_true_37" growShrinkType="overwriteClear" adjustColumnWidth="0" connectionId="4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1_flight_data_true_10" growShrinkType="overwriteClear" adjustColumnWidth="0" connectionId="9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1_flight_data_true_50" growShrinkType="overwriteClear" adjustColumnWidth="0" connectionId="5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1_flight_data_true_11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1_flight_data_raw_55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1_flight_data_true_80" growShrinkType="overwriteClear" adjustColumnWidth="0" connectionId="7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1_flight_data_true_48" growShrinkType="overwriteClear" adjustColumnWidth="0" connectionId="5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1_flight_data_true_18" growShrinkType="overwriteClear" adjustColumnWidth="0" connectionId="8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1_flight_data_true_75" growShrinkType="overwriteClear" adjustColumnWidth="0" connectionId="8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1_flight_data_true_13" growShrinkType="overwriteClear" adjustColumnWidth="0" connectionId="3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1_flight_data_true_63" growShrinkType="overwriteClear" adjustColumnWidth="0" connectionId="6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1_flight_data_true_70" growShrinkType="overwriteClear" adjustColumnWidth="0" connectionId="8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1_flight_data_raw_4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1_flight_data_true_67" growShrinkType="overwriteClear" adjustColumnWidth="0" connectionId="7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1_flight_data_true_14" growShrinkType="overwriteClear" adjustColumnWidth="0" connectionId="4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1_flight_data_raw_67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1_flight_data_true_73" growShrinkType="overwriteClear" adjustColumnWidth="0" connectionId="8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1_flight_data_true_6" growShrinkType="overwriteClear" adjustColumnWidth="0" connectionId="9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1_flight_data_raw_56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1_flight_data_true_55" growShrinkType="overwriteClear" adjustColumnWidth="0" connectionId="6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1_flight_data_true_58" growShrinkType="overwriteClear" adjustColumnWidth="0" connectionId="6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1_flight_data_true_44" growShrinkType="overwriteClear" adjustColumnWidth="0" connectionId="4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1_flight_data_true_16" growShrinkType="overwriteClear" adjustColumnWidth="0" connectionId="6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1_flight_data_true_36" growShrinkType="overwriteClear" adjustColumnWidth="0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2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84" Type="http://schemas.openxmlformats.org/officeDocument/2006/relationships/queryTable" Target="../queryTables/queryTable80.xml"/><Relationship Id="rId89" Type="http://schemas.openxmlformats.org/officeDocument/2006/relationships/queryTable" Target="../queryTables/queryTable85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87" Type="http://schemas.openxmlformats.org/officeDocument/2006/relationships/queryTable" Target="../queryTables/queryTable83.xml"/><Relationship Id="rId102" Type="http://schemas.openxmlformats.org/officeDocument/2006/relationships/queryTable" Target="../queryTables/queryTable98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90" Type="http://schemas.openxmlformats.org/officeDocument/2006/relationships/queryTable" Target="../queryTables/queryTable86.xml"/><Relationship Id="rId95" Type="http://schemas.openxmlformats.org/officeDocument/2006/relationships/queryTable" Target="../queryTables/queryTable91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85" Type="http://schemas.openxmlformats.org/officeDocument/2006/relationships/queryTable" Target="../queryTables/queryTable81.xml"/><Relationship Id="rId93" Type="http://schemas.openxmlformats.org/officeDocument/2006/relationships/queryTable" Target="../queryTables/queryTable89.xml"/><Relationship Id="rId98" Type="http://schemas.openxmlformats.org/officeDocument/2006/relationships/queryTable" Target="../queryTables/queryTable94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103" Type="http://schemas.openxmlformats.org/officeDocument/2006/relationships/queryTable" Target="../queryTables/queryTable99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91" Type="http://schemas.openxmlformats.org/officeDocument/2006/relationships/queryTable" Target="../queryTables/queryTable87.xml"/><Relationship Id="rId96" Type="http://schemas.openxmlformats.org/officeDocument/2006/relationships/queryTable" Target="../queryTables/queryTable9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81" Type="http://schemas.openxmlformats.org/officeDocument/2006/relationships/queryTable" Target="../queryTables/queryTable77.xml"/><Relationship Id="rId86" Type="http://schemas.openxmlformats.org/officeDocument/2006/relationships/queryTable" Target="../queryTables/queryTable82.xml"/><Relationship Id="rId94" Type="http://schemas.openxmlformats.org/officeDocument/2006/relationships/queryTable" Target="../queryTables/queryTable90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5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34" Type="http://schemas.openxmlformats.org/officeDocument/2006/relationships/queryTable" Target="../queryTables/queryTable30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97" Type="http://schemas.openxmlformats.org/officeDocument/2006/relationships/queryTable" Target="../queryTables/queryTable93.xml"/><Relationship Id="rId104" Type="http://schemas.openxmlformats.org/officeDocument/2006/relationships/queryTable" Target="../queryTables/queryTable10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2:D19"/>
  <sheetViews>
    <sheetView workbookViewId="0">
      <selection activeCell="B4" sqref="B4"/>
    </sheetView>
  </sheetViews>
  <sheetFormatPr defaultRowHeight="15"/>
  <sheetData>
    <row r="2" spans="1:4" ht="15.75" thickBot="1">
      <c r="A2" s="42" t="s">
        <v>24</v>
      </c>
      <c r="B2" s="42"/>
    </row>
    <row r="3" spans="1:4" ht="15.75" thickBot="1">
      <c r="A3" t="s">
        <v>0</v>
      </c>
      <c r="B3" s="1">
        <v>101323.8</v>
      </c>
      <c r="D3">
        <f>101325-1.2</f>
        <v>101323.8</v>
      </c>
    </row>
    <row r="4" spans="1:4">
      <c r="A4" t="s">
        <v>1</v>
      </c>
      <c r="B4" s="2">
        <f>($B$9/$B$10)*((POWER(B3/$B$14,(-$B$11*$B$10)/($B$12*$B$13)))-1)</f>
        <v>9.9891115600868857E-2</v>
      </c>
    </row>
    <row r="5" spans="1:4" ht="15.75" thickBot="1"/>
    <row r="6" spans="1:4" ht="15.75" thickBot="1">
      <c r="A6" t="s">
        <v>2</v>
      </c>
      <c r="B6" s="1">
        <v>950</v>
      </c>
    </row>
    <row r="7" spans="1:4">
      <c r="A7" t="s">
        <v>3</v>
      </c>
      <c r="B7" s="3">
        <f>B14*EXP(-B12*B13*B6/(B11*B9))</f>
        <v>90531.761188046949</v>
      </c>
    </row>
    <row r="9" spans="1:4">
      <c r="A9" t="s">
        <v>4</v>
      </c>
      <c r="B9">
        <f>273.15+C9</f>
        <v>288.14999999999998</v>
      </c>
      <c r="C9">
        <v>15</v>
      </c>
    </row>
    <row r="10" spans="1:4">
      <c r="A10" t="s">
        <v>6</v>
      </c>
      <c r="B10">
        <v>-6.4999999999999997E-3</v>
      </c>
    </row>
    <row r="11" spans="1:4">
      <c r="A11" t="s">
        <v>8</v>
      </c>
      <c r="B11">
        <v>8.3143200000000004</v>
      </c>
    </row>
    <row r="12" spans="1:4">
      <c r="A12" t="s">
        <v>10</v>
      </c>
      <c r="B12">
        <v>9.8066499999999994</v>
      </c>
    </row>
    <row r="13" spans="1:4">
      <c r="A13" t="s">
        <v>12</v>
      </c>
      <c r="B13">
        <v>2.8964400000000001E-2</v>
      </c>
    </row>
    <row r="14" spans="1:4">
      <c r="A14" t="s">
        <v>13</v>
      </c>
      <c r="B14">
        <v>101325</v>
      </c>
    </row>
    <row r="16" spans="1:4">
      <c r="A16" t="s">
        <v>5</v>
      </c>
      <c r="B16">
        <v>44307</v>
      </c>
    </row>
    <row r="17" spans="1:2">
      <c r="A17" t="s">
        <v>7</v>
      </c>
      <c r="B17">
        <v>0.21190000000000001</v>
      </c>
    </row>
    <row r="18" spans="1:2">
      <c r="A18" t="s">
        <v>9</v>
      </c>
      <c r="B18">
        <v>44330</v>
      </c>
    </row>
    <row r="19" spans="1:2">
      <c r="A19" t="s">
        <v>11</v>
      </c>
      <c r="B19">
        <v>0.1903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BH248"/>
  <sheetViews>
    <sheetView tabSelected="1" workbookViewId="0">
      <selection activeCell="I6" sqref="I6:K6"/>
    </sheetView>
  </sheetViews>
  <sheetFormatPr defaultRowHeight="1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>
      <c r="A1" s="45" t="s">
        <v>23</v>
      </c>
      <c r="B1" s="46"/>
      <c r="C1" s="21"/>
      <c r="D1" s="28" t="s">
        <v>15</v>
      </c>
      <c r="E1" s="41"/>
      <c r="F1" s="35"/>
      <c r="G1" s="35"/>
    </row>
    <row r="2" spans="1:56" ht="16.5" thickTop="1" thickBot="1">
      <c r="A2" s="47"/>
      <c r="B2" s="48"/>
      <c r="C2" s="48"/>
      <c r="D2" s="23"/>
      <c r="E2" s="26" t="s">
        <v>14</v>
      </c>
      <c r="F2" s="37"/>
      <c r="R2" t="s">
        <v>27</v>
      </c>
      <c r="T2" t="s">
        <v>28</v>
      </c>
    </row>
    <row r="3" spans="1:56">
      <c r="A3" s="49" t="s">
        <v>16</v>
      </c>
      <c r="B3" s="50"/>
      <c r="C3" s="50"/>
      <c r="D3" s="8">
        <v>91467.98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854.87360564419566</v>
      </c>
      <c r="F3" s="38" t="s">
        <v>18</v>
      </c>
    </row>
    <row r="4" spans="1:56">
      <c r="A4" s="49" t="s">
        <v>17</v>
      </c>
      <c r="B4" s="50"/>
      <c r="C4" s="50"/>
      <c r="D4" s="8">
        <v>87754.28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1196.3802300166851</v>
      </c>
      <c r="F4" s="39">
        <f>E4-E3</f>
        <v>341.50662437248945</v>
      </c>
    </row>
    <row r="5" spans="1:56" ht="15.75" thickBot="1">
      <c r="A5" s="43"/>
      <c r="B5" s="44"/>
      <c r="C5" s="44"/>
      <c r="D5" s="24"/>
      <c r="E5" s="27"/>
      <c r="F5" s="40"/>
    </row>
    <row r="6" spans="1:56" ht="30" customHeight="1" thickTop="1">
      <c r="C6" s="31" t="s">
        <v>19</v>
      </c>
      <c r="D6" s="22"/>
      <c r="E6" s="22"/>
      <c r="F6" s="20"/>
      <c r="G6" s="35"/>
      <c r="I6" t="s">
        <v>27</v>
      </c>
      <c r="K6" t="s">
        <v>28</v>
      </c>
    </row>
    <row r="7" spans="1:56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>
      <c r="A8" s="9">
        <v>0</v>
      </c>
      <c r="B8" s="10"/>
      <c r="C8" s="29">
        <v>30260</v>
      </c>
      <c r="D8" s="11">
        <v>91467.98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854.87360564419566</v>
      </c>
      <c r="F8" s="13">
        <f t="shared" ref="F8:F33" si="0">IF(D8&lt;&gt;0,E8-$E$3,0)</f>
        <v>0</v>
      </c>
      <c r="J8" s="34"/>
      <c r="K8" s="34"/>
    </row>
    <row r="9" spans="1:56">
      <c r="A9" s="10">
        <v>0.192</v>
      </c>
      <c r="B9" s="10"/>
      <c r="C9" s="30">
        <v>30259</v>
      </c>
      <c r="D9" s="5">
        <v>91470.65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854.63214827846139</v>
      </c>
      <c r="F9" s="14">
        <f t="shared" si="0"/>
        <v>-0.24145736573427712</v>
      </c>
      <c r="J9" s="34"/>
      <c r="K9" s="34"/>
      <c r="L9" s="32"/>
      <c r="AU9" s="32"/>
      <c r="BD9" s="32"/>
    </row>
    <row r="10" spans="1:56">
      <c r="A10" s="10">
        <v>0.38400000000000001</v>
      </c>
      <c r="B10" s="10"/>
      <c r="C10" s="30">
        <v>30236</v>
      </c>
      <c r="D10" s="5">
        <v>91531.88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849.09647239314256</v>
      </c>
      <c r="F10" s="14">
        <f t="shared" si="0"/>
        <v>-5.777133251053101</v>
      </c>
      <c r="J10" s="34"/>
      <c r="K10" s="34"/>
      <c r="L10" s="32"/>
      <c r="AQ10" s="32"/>
      <c r="AZ10" s="32"/>
    </row>
    <row r="11" spans="1:56">
      <c r="A11" s="10">
        <v>0.57599999999999996</v>
      </c>
      <c r="B11" s="10"/>
      <c r="C11" s="30">
        <v>29868</v>
      </c>
      <c r="D11" s="5">
        <v>92511.66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760.92193591299201</v>
      </c>
      <c r="F11" s="14">
        <f t="shared" si="0"/>
        <v>-93.951669731203651</v>
      </c>
      <c r="J11" s="34"/>
      <c r="K11" s="34"/>
      <c r="L11" s="32"/>
      <c r="AA11" s="33"/>
      <c r="AG11" s="32"/>
      <c r="AP11" s="32"/>
      <c r="AY11" s="32"/>
    </row>
    <row r="12" spans="1:56">
      <c r="A12" s="10">
        <v>0.76800000000000002</v>
      </c>
      <c r="B12" s="10"/>
      <c r="C12" s="30">
        <v>29647</v>
      </c>
      <c r="D12" s="5">
        <v>93100.23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708.31696999022824</v>
      </c>
      <c r="F12" s="14">
        <f t="shared" si="0"/>
        <v>-146.55663565396742</v>
      </c>
      <c r="I12" s="32"/>
      <c r="J12" s="34"/>
      <c r="K12" s="34"/>
      <c r="L12" s="32"/>
      <c r="Z12" s="33"/>
      <c r="AF12" s="32"/>
      <c r="AO12" s="32"/>
      <c r="AX12" s="32"/>
    </row>
    <row r="13" spans="1:56">
      <c r="A13" s="10">
        <v>0.96</v>
      </c>
      <c r="B13" s="10"/>
      <c r="C13" s="30">
        <v>29613</v>
      </c>
      <c r="D13" s="5">
        <v>93190.79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700.2468563893143</v>
      </c>
      <c r="F13" s="14">
        <f t="shared" si="0"/>
        <v>-154.62674925488136</v>
      </c>
      <c r="I13" s="32"/>
      <c r="J13" s="34"/>
      <c r="K13" s="34"/>
      <c r="L13" s="32"/>
      <c r="Y13" s="33"/>
      <c r="AE13" s="32"/>
      <c r="AO13" s="32"/>
      <c r="AX13" s="32"/>
    </row>
    <row r="14" spans="1:56">
      <c r="A14" s="10">
        <v>1.1519999999999999</v>
      </c>
      <c r="B14" s="10"/>
      <c r="C14" s="30">
        <v>29764</v>
      </c>
      <c r="D14" s="5">
        <v>92788.63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736.13337109431507</v>
      </c>
      <c r="F14" s="14">
        <f t="shared" si="0"/>
        <v>-118.7402345498806</v>
      </c>
      <c r="I14" s="32"/>
      <c r="J14" s="34"/>
      <c r="K14" s="34"/>
      <c r="L14" s="32"/>
      <c r="Z14" s="33"/>
      <c r="AF14" s="32"/>
      <c r="AM14" s="32"/>
      <c r="AV14" s="32"/>
    </row>
    <row r="15" spans="1:56">
      <c r="A15" s="10">
        <v>1.3440000000000001</v>
      </c>
      <c r="B15" s="10"/>
      <c r="C15" s="30">
        <v>30158</v>
      </c>
      <c r="D15" s="5">
        <v>91739.520000000004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830.34647342338269</v>
      </c>
      <c r="F15" s="14">
        <f t="shared" si="0"/>
        <v>-24.527132220812973</v>
      </c>
      <c r="I15" s="32"/>
      <c r="J15" s="34"/>
      <c r="K15" s="34"/>
      <c r="L15" s="32"/>
      <c r="Z15" s="33"/>
      <c r="AF15" s="32"/>
      <c r="AM15" s="32"/>
      <c r="AV15" s="32"/>
    </row>
    <row r="16" spans="1:56">
      <c r="A16" s="10">
        <v>1.536</v>
      </c>
      <c r="B16" s="10"/>
      <c r="C16" s="30">
        <v>30935</v>
      </c>
      <c r="D16" s="5">
        <v>89671.73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1018.6237154817414</v>
      </c>
      <c r="F16" s="14">
        <f t="shared" si="0"/>
        <v>163.75010983754578</v>
      </c>
      <c r="J16" s="34"/>
      <c r="K16" s="34"/>
      <c r="L16" s="32"/>
      <c r="AM16" s="32"/>
      <c r="AV16" s="32"/>
    </row>
    <row r="17" spans="1:56">
      <c r="A17" s="10">
        <v>1.728</v>
      </c>
      <c r="B17" s="10"/>
      <c r="C17" s="30">
        <v>31656</v>
      </c>
      <c r="D17" s="5">
        <v>87754.28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1196.3802300166851</v>
      </c>
      <c r="F17" s="14">
        <f t="shared" si="0"/>
        <v>341.50662437248945</v>
      </c>
      <c r="J17" s="34"/>
      <c r="K17" s="34"/>
      <c r="L17" s="32"/>
      <c r="AM17" s="32"/>
      <c r="AV17" s="32"/>
    </row>
    <row r="18" spans="1:56">
      <c r="A18" s="10">
        <v>1.92</v>
      </c>
      <c r="B18" s="10"/>
      <c r="C18" s="30">
        <v>31519</v>
      </c>
      <c r="D18" s="5">
        <v>88118.52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1162.3731573788748</v>
      </c>
      <c r="F18" s="14">
        <f t="shared" si="0"/>
        <v>307.49955173467913</v>
      </c>
      <c r="J18" s="34"/>
      <c r="K18" s="34"/>
      <c r="L18" s="32"/>
      <c r="AM18" s="32"/>
      <c r="AV18" s="32"/>
    </row>
    <row r="19" spans="1:56">
      <c r="A19" s="10">
        <v>2.1120000000000001</v>
      </c>
      <c r="B19" s="10"/>
      <c r="C19" s="30">
        <v>31463</v>
      </c>
      <c r="D19" s="5">
        <v>88267.42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1148.5039583175242</v>
      </c>
      <c r="F19" s="14">
        <f t="shared" si="0"/>
        <v>293.6303526733285</v>
      </c>
      <c r="I19" s="32"/>
      <c r="J19" s="34"/>
      <c r="K19" s="34"/>
      <c r="L19" s="32"/>
      <c r="AL19" s="32"/>
      <c r="AU19" s="32"/>
    </row>
    <row r="20" spans="1:56">
      <c r="A20" s="10">
        <v>2.3039999999999998</v>
      </c>
      <c r="B20" s="10"/>
      <c r="C20" s="30">
        <v>31406</v>
      </c>
      <c r="D20" s="5">
        <v>88418.99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1134.4055075067747</v>
      </c>
      <c r="F20" s="14">
        <f t="shared" si="0"/>
        <v>279.53190186257905</v>
      </c>
      <c r="I20" s="32"/>
      <c r="J20" s="34"/>
      <c r="K20" s="34"/>
      <c r="L20" s="32"/>
      <c r="AM20" s="32"/>
      <c r="AV20" s="32"/>
    </row>
    <row r="21" spans="1:56">
      <c r="A21" s="10">
        <v>2.496</v>
      </c>
      <c r="B21" s="10"/>
      <c r="C21" s="30">
        <v>31400</v>
      </c>
      <c r="D21" s="5">
        <v>88434.95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1132.922109569847</v>
      </c>
      <c r="F21" s="14">
        <f t="shared" si="0"/>
        <v>278.04850392565129</v>
      </c>
      <c r="I21" s="32"/>
      <c r="J21" s="34"/>
      <c r="K21" s="34"/>
      <c r="L21" s="32"/>
      <c r="AK21" s="32"/>
      <c r="AT21" s="32"/>
    </row>
    <row r="22" spans="1:56">
      <c r="A22" s="10">
        <v>2.6880000000000002</v>
      </c>
      <c r="B22" s="10"/>
      <c r="C22" s="30">
        <v>31356</v>
      </c>
      <c r="D22" s="5">
        <v>88551.95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1122.0541902253806</v>
      </c>
      <c r="F22" s="14">
        <f t="shared" si="0"/>
        <v>267.18058458118492</v>
      </c>
      <c r="I22" s="32"/>
      <c r="J22" s="34"/>
      <c r="K22" s="34"/>
      <c r="L22" s="32"/>
      <c r="AI22" s="32"/>
      <c r="AR22" s="32"/>
    </row>
    <row r="23" spans="1:56">
      <c r="A23" s="10">
        <v>2.88</v>
      </c>
      <c r="B23" s="10"/>
      <c r="C23" s="30">
        <v>31339</v>
      </c>
      <c r="D23" s="5">
        <v>88597.16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1117.8578290829867</v>
      </c>
      <c r="F23" s="14">
        <f t="shared" si="0"/>
        <v>262.98422343879099</v>
      </c>
      <c r="I23" s="32"/>
      <c r="J23" s="34"/>
      <c r="K23" s="34"/>
      <c r="L23" s="32"/>
      <c r="AI23" s="32"/>
      <c r="AR23" s="32"/>
    </row>
    <row r="24" spans="1:56">
      <c r="A24" s="10">
        <v>3.0720000000000001</v>
      </c>
      <c r="B24" s="10"/>
      <c r="C24" s="30">
        <v>31363</v>
      </c>
      <c r="D24" s="5">
        <v>88533.34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1123.7820616848689</v>
      </c>
      <c r="F24" s="14">
        <f t="shared" si="0"/>
        <v>268.90845604067329</v>
      </c>
      <c r="J24" s="34"/>
      <c r="K24" s="34"/>
      <c r="L24" s="32"/>
      <c r="V24" s="33"/>
      <c r="AB24" s="32"/>
      <c r="AH24" s="32"/>
      <c r="AQ24" s="32"/>
    </row>
    <row r="25" spans="1:56">
      <c r="A25" s="10">
        <v>3.2639999999999998</v>
      </c>
      <c r="B25" s="10"/>
      <c r="C25" s="30">
        <v>31353</v>
      </c>
      <c r="D25" s="5">
        <v>88559.94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1121.3124377286699</v>
      </c>
      <c r="F25" s="14">
        <f t="shared" si="0"/>
        <v>266.43883208447426</v>
      </c>
      <c r="J25" s="34"/>
      <c r="K25" s="34"/>
      <c r="L25" s="32"/>
      <c r="V25" s="33"/>
      <c r="AB25" s="32"/>
      <c r="AH25" s="32"/>
      <c r="AQ25" s="32"/>
    </row>
    <row r="26" spans="1:56">
      <c r="A26" s="10">
        <v>3.456</v>
      </c>
      <c r="B26" s="10"/>
      <c r="C26" s="30">
        <v>31365</v>
      </c>
      <c r="D26" s="5">
        <v>88528.02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1124.2760585736723</v>
      </c>
      <c r="F26" s="14">
        <f t="shared" si="0"/>
        <v>269.40245292947668</v>
      </c>
      <c r="J26" s="34"/>
      <c r="K26" s="34"/>
      <c r="L26" s="32"/>
      <c r="W26" s="33"/>
      <c r="AC26" s="32"/>
      <c r="AJ26" s="32"/>
      <c r="AS26" s="32"/>
    </row>
    <row r="27" spans="1:56">
      <c r="A27" s="10">
        <v>3.6480000000000001</v>
      </c>
      <c r="B27" s="10"/>
      <c r="C27" s="30">
        <v>31372</v>
      </c>
      <c r="D27" s="5">
        <v>88509.41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1126.0043082594545</v>
      </c>
      <c r="F27" s="14">
        <f t="shared" si="0"/>
        <v>271.13070261525888</v>
      </c>
      <c r="J27" s="34"/>
      <c r="K27" s="34"/>
      <c r="L27" s="32"/>
      <c r="W27" s="33"/>
      <c r="AC27" s="32"/>
      <c r="AM27" s="32"/>
      <c r="AV27" s="32"/>
    </row>
    <row r="28" spans="1:56">
      <c r="A28" s="10">
        <v>3.84</v>
      </c>
      <c r="B28" s="10"/>
      <c r="C28" s="30">
        <v>31377</v>
      </c>
      <c r="D28" s="5">
        <v>88496.11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1127.2396159496832</v>
      </c>
      <c r="F28" s="14">
        <f t="shared" si="0"/>
        <v>272.36601030548752</v>
      </c>
      <c r="J28" s="34"/>
      <c r="K28" s="34"/>
      <c r="L28" s="32"/>
      <c r="X28" s="33"/>
      <c r="AD28" s="32"/>
      <c r="AM28" s="32"/>
      <c r="AV28" s="32"/>
    </row>
    <row r="29" spans="1:56">
      <c r="A29" s="10">
        <v>4.032</v>
      </c>
      <c r="B29" s="10"/>
      <c r="C29" s="30">
        <v>31377</v>
      </c>
      <c r="D29" s="5">
        <v>88496.11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1127.2396159496832</v>
      </c>
      <c r="F29" s="14">
        <f t="shared" si="0"/>
        <v>272.36601030548752</v>
      </c>
      <c r="J29" s="34"/>
      <c r="K29" s="34"/>
      <c r="AQ29" s="32"/>
      <c r="AZ29" s="32"/>
    </row>
    <row r="30" spans="1:56">
      <c r="A30" s="10">
        <v>4.2240000000000002</v>
      </c>
      <c r="B30" s="10"/>
      <c r="C30" s="30">
        <v>31375</v>
      </c>
      <c r="D30" s="5">
        <v>88501.42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1126.7464036492697</v>
      </c>
      <c r="F30" s="14">
        <f t="shared" si="0"/>
        <v>271.87279800507406</v>
      </c>
      <c r="J30" s="34"/>
      <c r="K30" s="34"/>
      <c r="AQ30" s="32"/>
      <c r="AZ30" s="32"/>
    </row>
    <row r="31" spans="1:56">
      <c r="A31" s="10">
        <v>4.4160000000000004</v>
      </c>
      <c r="B31" s="10"/>
      <c r="C31" s="30">
        <v>31375</v>
      </c>
      <c r="D31" s="5">
        <v>88501.42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1126.7464036492697</v>
      </c>
      <c r="F31" s="14">
        <f t="shared" si="0"/>
        <v>271.87279800507406</v>
      </c>
      <c r="J31" s="34"/>
      <c r="K31" s="34"/>
      <c r="AR31" s="32"/>
      <c r="BA31" s="32"/>
    </row>
    <row r="32" spans="1:56">
      <c r="A32" s="10">
        <v>4.6079999999999997</v>
      </c>
      <c r="B32" s="10"/>
      <c r="C32" s="30">
        <v>31385</v>
      </c>
      <c r="D32" s="5">
        <v>88474.84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1129.2154919369232</v>
      </c>
      <c r="F32" s="14">
        <f t="shared" si="0"/>
        <v>274.34188629272751</v>
      </c>
      <c r="J32" s="34"/>
      <c r="K32" s="34"/>
      <c r="AU32" s="32"/>
      <c r="BD32" s="32"/>
    </row>
    <row r="33" spans="1:60">
      <c r="A33" s="10">
        <v>4.8</v>
      </c>
      <c r="B33" s="10"/>
      <c r="C33" s="30">
        <v>31387</v>
      </c>
      <c r="D33" s="5">
        <v>88469.52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1129.7097533039337</v>
      </c>
      <c r="F33" s="14">
        <f t="shared" si="0"/>
        <v>274.836147659738</v>
      </c>
      <c r="J33" s="34"/>
      <c r="K33" s="34"/>
      <c r="AV33" s="32"/>
      <c r="BE33" s="32"/>
    </row>
    <row r="34" spans="1:60">
      <c r="A34" s="10">
        <v>4.992</v>
      </c>
      <c r="B34" s="10"/>
      <c r="C34" s="30">
        <v>31388</v>
      </c>
      <c r="D34" s="5">
        <v>88466.86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1129.9568930125497</v>
      </c>
      <c r="F34" s="14">
        <f>IF(D34&lt;&gt;0,E34-$E$3,0)</f>
        <v>275.08328736835404</v>
      </c>
      <c r="J34" s="34"/>
      <c r="K34" s="34"/>
      <c r="AY34" s="32"/>
      <c r="BH34" s="32"/>
    </row>
    <row r="35" spans="1:60">
      <c r="A35" s="10">
        <v>5.1840000000000002</v>
      </c>
      <c r="B35" s="10"/>
      <c r="C35" s="30">
        <v>31385</v>
      </c>
      <c r="D35" s="5">
        <v>88474.84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1129.2154919369232</v>
      </c>
      <c r="F35" s="14">
        <f t="shared" ref="F35:F98" si="1">IF(D35&lt;&gt;0,E35-$E$3,0)</f>
        <v>274.34188629272751</v>
      </c>
      <c r="J35" s="34"/>
      <c r="K35" s="34"/>
    </row>
    <row r="36" spans="1:60">
      <c r="A36" s="10">
        <v>5.3760000000000003</v>
      </c>
      <c r="B36" s="10"/>
      <c r="C36" s="30">
        <v>31383</v>
      </c>
      <c r="D36" s="5">
        <v>88480.16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1128.7212546346832</v>
      </c>
      <c r="F36" s="14">
        <f t="shared" si="1"/>
        <v>273.84764899048753</v>
      </c>
      <c r="J36" s="34"/>
      <c r="K36" s="34"/>
    </row>
    <row r="37" spans="1:60">
      <c r="A37" s="10">
        <v>5.5679999999999996</v>
      </c>
      <c r="B37" s="10"/>
      <c r="C37" s="30">
        <v>31378</v>
      </c>
      <c r="D37" s="5">
        <v>88493.45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1127.4866955271534</v>
      </c>
      <c r="F37" s="14">
        <f t="shared" si="1"/>
        <v>272.61308988295775</v>
      </c>
      <c r="J37" s="34"/>
      <c r="K37" s="34"/>
    </row>
    <row r="38" spans="1:60">
      <c r="A38" s="10">
        <v>5.76</v>
      </c>
      <c r="B38" s="10"/>
      <c r="C38" s="30">
        <v>31371</v>
      </c>
      <c r="D38" s="5">
        <v>88512.06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1125.7581934822501</v>
      </c>
      <c r="F38" s="14">
        <f t="shared" si="1"/>
        <v>270.88458783805447</v>
      </c>
      <c r="J38" s="34"/>
      <c r="K38" s="34"/>
    </row>
    <row r="39" spans="1:60">
      <c r="A39" s="10">
        <v>5.952</v>
      </c>
      <c r="B39" s="10"/>
      <c r="C39" s="30">
        <v>31363</v>
      </c>
      <c r="D39" s="5">
        <v>88533.34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1123.7820616848689</v>
      </c>
      <c r="F39" s="14">
        <f t="shared" si="1"/>
        <v>268.90845604067329</v>
      </c>
      <c r="J39" s="34"/>
      <c r="K39" s="34"/>
    </row>
    <row r="40" spans="1:60">
      <c r="A40" s="10">
        <v>6.1440000000000001</v>
      </c>
      <c r="B40" s="10"/>
      <c r="C40" s="30">
        <v>31395</v>
      </c>
      <c r="D40" s="5">
        <v>88448.24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1131.6870394721163</v>
      </c>
      <c r="F40" s="14">
        <f t="shared" si="1"/>
        <v>276.81343382792068</v>
      </c>
      <c r="J40" s="34"/>
      <c r="K40" s="34"/>
    </row>
    <row r="41" spans="1:60">
      <c r="A41" s="10">
        <v>6.3360000000000003</v>
      </c>
      <c r="B41" s="10"/>
      <c r="C41" s="30">
        <v>31372</v>
      </c>
      <c r="D41" s="5">
        <v>88509.41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1126.0043082594545</v>
      </c>
      <c r="F41" s="14">
        <f t="shared" si="1"/>
        <v>271.13070261525888</v>
      </c>
      <c r="J41" s="34"/>
      <c r="K41" s="34"/>
    </row>
    <row r="42" spans="1:60">
      <c r="A42" s="10">
        <v>6.5279999999999996</v>
      </c>
      <c r="B42" s="10"/>
      <c r="C42" s="30">
        <v>31365</v>
      </c>
      <c r="D42" s="5">
        <v>88528.02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1124.2760585736723</v>
      </c>
      <c r="F42" s="14">
        <f t="shared" si="1"/>
        <v>269.40245292947668</v>
      </c>
      <c r="J42" s="34"/>
      <c r="K42" s="34"/>
    </row>
    <row r="43" spans="1:60">
      <c r="A43" s="10">
        <v>6.72</v>
      </c>
      <c r="B43" s="10"/>
      <c r="C43" s="30">
        <v>31353</v>
      </c>
      <c r="D43" s="5">
        <v>88559.94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1121.3124377286699</v>
      </c>
      <c r="F43" s="14">
        <f t="shared" si="1"/>
        <v>266.43883208447426</v>
      </c>
      <c r="J43" s="34"/>
      <c r="K43" s="34"/>
    </row>
    <row r="44" spans="1:60">
      <c r="A44" s="10">
        <v>6.9119999999999999</v>
      </c>
      <c r="B44" s="10"/>
      <c r="C44" s="30">
        <v>31344</v>
      </c>
      <c r="D44" s="5">
        <v>88583.87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1119.0912177818252</v>
      </c>
      <c r="F44" s="14">
        <f t="shared" si="1"/>
        <v>264.21761213762954</v>
      </c>
      <c r="J44" s="34"/>
      <c r="K44" s="34"/>
    </row>
    <row r="45" spans="1:60">
      <c r="A45" s="10">
        <v>7.1040000000000001</v>
      </c>
      <c r="B45" s="10"/>
      <c r="C45" s="30">
        <v>31325</v>
      </c>
      <c r="D45" s="5">
        <v>88634.39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1114.4034677179197</v>
      </c>
      <c r="F45" s="14">
        <f t="shared" si="1"/>
        <v>259.52986207372408</v>
      </c>
      <c r="J45" s="34"/>
      <c r="K45" s="34"/>
    </row>
    <row r="46" spans="1:60">
      <c r="A46" s="10">
        <v>7.2959999999999896</v>
      </c>
      <c r="B46" s="10"/>
      <c r="C46" s="30">
        <v>31319</v>
      </c>
      <c r="D46" s="5">
        <v>88650.34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1112.9239168171878</v>
      </c>
      <c r="F46" s="14">
        <f t="shared" si="1"/>
        <v>258.05031117299211</v>
      </c>
      <c r="J46" s="34"/>
      <c r="K46" s="34"/>
    </row>
    <row r="47" spans="1:60">
      <c r="A47" s="10">
        <v>7.4879999999999898</v>
      </c>
      <c r="B47" s="10"/>
      <c r="C47" s="30">
        <v>31310</v>
      </c>
      <c r="D47" s="5">
        <v>88674.28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1110.7036035548272</v>
      </c>
      <c r="F47" s="14">
        <f t="shared" si="1"/>
        <v>255.8299979106315</v>
      </c>
      <c r="J47" s="34"/>
      <c r="K47" s="34"/>
    </row>
    <row r="48" spans="1:60">
      <c r="A48" s="10">
        <v>7.6799999999999899</v>
      </c>
      <c r="B48" s="10"/>
      <c r="C48" s="30">
        <v>31314</v>
      </c>
      <c r="D48" s="5">
        <v>88663.64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1111.690349517834</v>
      </c>
      <c r="F48" s="14">
        <f t="shared" si="1"/>
        <v>256.8167438736383</v>
      </c>
      <c r="J48" s="34"/>
      <c r="K48" s="34"/>
    </row>
    <row r="49" spans="1:11">
      <c r="A49" s="10">
        <v>7.8719999999999901</v>
      </c>
      <c r="B49" s="10"/>
      <c r="C49" s="30">
        <v>31294</v>
      </c>
      <c r="D49" s="5">
        <v>88716.83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1106.7585051587607</v>
      </c>
      <c r="F49" s="14">
        <f t="shared" si="1"/>
        <v>251.88489951456506</v>
      </c>
      <c r="J49" s="34"/>
      <c r="K49" s="34"/>
    </row>
    <row r="50" spans="1:11">
      <c r="A50" s="10">
        <v>8.0639999999999894</v>
      </c>
      <c r="B50" s="10"/>
      <c r="C50" s="30">
        <v>31274</v>
      </c>
      <c r="D50" s="5">
        <v>88770.02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1101.8290545112434</v>
      </c>
      <c r="F50" s="14">
        <f t="shared" si="1"/>
        <v>246.95544886704772</v>
      </c>
      <c r="J50" s="34"/>
      <c r="K50" s="34"/>
    </row>
    <row r="51" spans="1:11">
      <c r="A51" s="10">
        <v>8.2559999999999896</v>
      </c>
      <c r="B51" s="10"/>
      <c r="C51" s="30">
        <v>31277</v>
      </c>
      <c r="D51" s="5">
        <v>88762.04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1102.5684586021164</v>
      </c>
      <c r="F51" s="14">
        <f t="shared" si="1"/>
        <v>247.69485295792072</v>
      </c>
      <c r="J51" s="34"/>
      <c r="K51" s="34"/>
    </row>
    <row r="52" spans="1:11">
      <c r="A52" s="10">
        <v>8.4479999999999897</v>
      </c>
      <c r="B52" s="10"/>
      <c r="C52" s="30">
        <v>31259</v>
      </c>
      <c r="D52" s="5">
        <v>88809.91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1098.1337673877699</v>
      </c>
      <c r="F52" s="14">
        <f t="shared" si="1"/>
        <v>243.26016174357426</v>
      </c>
      <c r="J52" s="34"/>
      <c r="K52" s="34"/>
    </row>
    <row r="53" spans="1:11">
      <c r="A53" s="10">
        <v>8.6399999999999899</v>
      </c>
      <c r="B53" s="10"/>
      <c r="C53" s="30">
        <v>31255</v>
      </c>
      <c r="D53" s="5">
        <v>88820.55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1097.1483375133253</v>
      </c>
      <c r="F53" s="14">
        <f t="shared" si="1"/>
        <v>242.2747318691296</v>
      </c>
      <c r="J53" s="34"/>
      <c r="K53" s="34"/>
    </row>
    <row r="54" spans="1:11">
      <c r="A54" s="10">
        <v>8.8319999999999901</v>
      </c>
      <c r="B54" s="10"/>
      <c r="C54" s="30">
        <v>31241</v>
      </c>
      <c r="D54" s="5">
        <v>88857.78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1093.7010113228073</v>
      </c>
      <c r="F54" s="14">
        <f t="shared" si="1"/>
        <v>238.82740567861163</v>
      </c>
      <c r="J54" s="34"/>
      <c r="K54" s="34"/>
    </row>
    <row r="55" spans="1:11">
      <c r="A55" s="10">
        <v>9.0239999999999903</v>
      </c>
      <c r="B55" s="10"/>
      <c r="C55" s="30">
        <v>31235</v>
      </c>
      <c r="D55" s="5">
        <v>88873.74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1092.2235471208612</v>
      </c>
      <c r="F55" s="14">
        <f t="shared" si="1"/>
        <v>237.34994147666555</v>
      </c>
      <c r="J55" s="34"/>
      <c r="K55" s="34"/>
    </row>
    <row r="56" spans="1:11">
      <c r="A56" s="10">
        <v>9.2159999999999904</v>
      </c>
      <c r="B56" s="10"/>
      <c r="C56" s="30">
        <v>31229</v>
      </c>
      <c r="D56" s="5">
        <v>88889.7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1090.7462977458297</v>
      </c>
      <c r="F56" s="14">
        <f t="shared" si="1"/>
        <v>235.87269210163402</v>
      </c>
      <c r="J56" s="34"/>
      <c r="K56" s="34"/>
    </row>
    <row r="57" spans="1:11">
      <c r="A57" s="10">
        <v>9.4079999999999906</v>
      </c>
      <c r="B57" s="10"/>
      <c r="C57" s="30">
        <v>31211</v>
      </c>
      <c r="D57" s="5">
        <v>88937.57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1086.3167630084856</v>
      </c>
      <c r="F57" s="14">
        <f t="shared" si="1"/>
        <v>231.44315736428996</v>
      </c>
      <c r="J57" s="34"/>
      <c r="K57" s="34"/>
    </row>
    <row r="58" spans="1:11">
      <c r="A58" s="10">
        <v>9.5999999999999908</v>
      </c>
      <c r="B58" s="10"/>
      <c r="C58" s="30">
        <v>31198</v>
      </c>
      <c r="D58" s="5">
        <v>88972.15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1083.1181871315468</v>
      </c>
      <c r="F58" s="14">
        <f t="shared" si="1"/>
        <v>228.24458148735118</v>
      </c>
      <c r="J58" s="34"/>
      <c r="K58" s="34"/>
    </row>
    <row r="59" spans="1:11">
      <c r="A59" s="10">
        <v>9.7919999999999892</v>
      </c>
      <c r="B59" s="10"/>
      <c r="C59" s="30">
        <v>31203</v>
      </c>
      <c r="D59" s="5">
        <v>88958.85</v>
      </c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1084.3482894745107</v>
      </c>
      <c r="F59" s="14">
        <f t="shared" si="1"/>
        <v>229.47468383031503</v>
      </c>
      <c r="J59" s="34"/>
      <c r="K59" s="34"/>
    </row>
    <row r="60" spans="1:11">
      <c r="A60" s="10">
        <v>9.9839999999999893</v>
      </c>
      <c r="B60" s="10"/>
      <c r="C60" s="30">
        <v>31185</v>
      </c>
      <c r="D60" s="5">
        <v>89006.73</v>
      </c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1079.9206177298508</v>
      </c>
      <c r="F60" s="14">
        <f t="shared" si="1"/>
        <v>225.04701208565518</v>
      </c>
      <c r="J60" s="34"/>
      <c r="K60" s="34"/>
    </row>
    <row r="61" spans="1:11">
      <c r="A61" s="10">
        <v>10.176</v>
      </c>
      <c r="B61" s="10"/>
      <c r="C61" s="30">
        <v>31176</v>
      </c>
      <c r="D61" s="5">
        <v>89030.66</v>
      </c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1077.7084293971559</v>
      </c>
      <c r="F61" s="14">
        <f t="shared" si="1"/>
        <v>222.83482375296023</v>
      </c>
      <c r="J61" s="34"/>
      <c r="K61" s="34"/>
    </row>
    <row r="62" spans="1:11">
      <c r="A62" s="10">
        <v>10.368</v>
      </c>
      <c r="B62" s="10"/>
      <c r="C62" s="30">
        <v>31166</v>
      </c>
      <c r="D62" s="5">
        <v>89057.27</v>
      </c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1075.249056061816</v>
      </c>
      <c r="F62" s="14">
        <f t="shared" si="1"/>
        <v>220.3754504176203</v>
      </c>
      <c r="J62" s="34"/>
      <c r="K62" s="34"/>
    </row>
    <row r="63" spans="1:11">
      <c r="A63" s="10">
        <v>10.56</v>
      </c>
      <c r="B63" s="10"/>
      <c r="C63" s="30">
        <v>31161</v>
      </c>
      <c r="D63" s="5">
        <v>89070.56</v>
      </c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1074.0209785342472</v>
      </c>
      <c r="F63" s="14">
        <f t="shared" si="1"/>
        <v>219.14737289005154</v>
      </c>
      <c r="J63" s="34"/>
      <c r="K63" s="34"/>
    </row>
    <row r="64" spans="1:11">
      <c r="A64" s="10">
        <v>10.752000000000001</v>
      </c>
      <c r="B64" s="10"/>
      <c r="C64" s="30">
        <v>31155</v>
      </c>
      <c r="D64" s="5">
        <v>89086.52</v>
      </c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1072.546372694841</v>
      </c>
      <c r="F64" s="14">
        <f t="shared" si="1"/>
        <v>217.67276705064535</v>
      </c>
      <c r="J64" s="34"/>
      <c r="K64" s="34"/>
    </row>
    <row r="65" spans="1:11">
      <c r="A65" s="10">
        <v>10.944000000000001</v>
      </c>
      <c r="B65" s="10"/>
      <c r="C65" s="30">
        <v>31137</v>
      </c>
      <c r="D65" s="5">
        <v>89134.39</v>
      </c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1068.1247617643098</v>
      </c>
      <c r="F65" s="14">
        <f t="shared" si="1"/>
        <v>213.25115612011416</v>
      </c>
      <c r="J65" s="34"/>
      <c r="K65" s="34"/>
    </row>
    <row r="66" spans="1:11">
      <c r="A66" s="10">
        <v>11.135999999999999</v>
      </c>
      <c r="B66" s="10"/>
      <c r="C66" s="30">
        <v>31133</v>
      </c>
      <c r="D66" s="5">
        <v>89145.03</v>
      </c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1067.142237496935</v>
      </c>
      <c r="F66" s="14">
        <f t="shared" si="1"/>
        <v>212.2686318527393</v>
      </c>
      <c r="J66" s="34"/>
      <c r="K66" s="34"/>
    </row>
    <row r="67" spans="1:11">
      <c r="A67" s="10">
        <v>11.327999999999999</v>
      </c>
      <c r="B67" s="10"/>
      <c r="C67" s="30">
        <v>31117</v>
      </c>
      <c r="D67" s="5">
        <v>89187.59</v>
      </c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1063.2130897566885</v>
      </c>
      <c r="F67" s="14">
        <f t="shared" si="1"/>
        <v>208.33948411249287</v>
      </c>
      <c r="J67" s="34"/>
      <c r="K67" s="34"/>
    </row>
    <row r="68" spans="1:11">
      <c r="A68" s="10">
        <v>11.52</v>
      </c>
      <c r="B68" s="10"/>
      <c r="C68" s="30">
        <v>31107</v>
      </c>
      <c r="D68" s="5">
        <v>89214.19</v>
      </c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1060.7581433327668</v>
      </c>
      <c r="F68" s="14">
        <f t="shared" si="1"/>
        <v>205.88453768857119</v>
      </c>
      <c r="J68" s="34"/>
      <c r="K68" s="34"/>
    </row>
    <row r="69" spans="1:11">
      <c r="A69" s="10">
        <v>11.712</v>
      </c>
      <c r="B69" s="10"/>
      <c r="C69" s="30">
        <v>31104</v>
      </c>
      <c r="D69" s="5">
        <v>89222.16</v>
      </c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1060.022697716312</v>
      </c>
      <c r="F69" s="14">
        <f t="shared" si="1"/>
        <v>205.14909207211633</v>
      </c>
      <c r="J69" s="34"/>
      <c r="K69" s="34"/>
    </row>
    <row r="70" spans="1:11">
      <c r="A70" s="10">
        <v>11.904</v>
      </c>
      <c r="B70" s="10"/>
      <c r="C70" s="30">
        <v>31103</v>
      </c>
      <c r="D70" s="5">
        <v>89224.83</v>
      </c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1059.776330716559</v>
      </c>
      <c r="F70" s="14">
        <f t="shared" si="1"/>
        <v>204.9027250723633</v>
      </c>
      <c r="J70" s="34"/>
      <c r="K70" s="34"/>
    </row>
    <row r="71" spans="1:11">
      <c r="A71" s="10">
        <v>12.096</v>
      </c>
      <c r="B71" s="10"/>
      <c r="C71" s="30">
        <v>31091</v>
      </c>
      <c r="D71" s="5">
        <v>89256.75</v>
      </c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1056.8314615848915</v>
      </c>
      <c r="F71" s="14">
        <f t="shared" si="1"/>
        <v>201.95785594069582</v>
      </c>
      <c r="J71" s="34"/>
      <c r="K71" s="34"/>
    </row>
    <row r="72" spans="1:11">
      <c r="A72" s="10">
        <v>12.288</v>
      </c>
      <c r="B72" s="10"/>
      <c r="C72" s="30">
        <v>31073</v>
      </c>
      <c r="D72" s="5">
        <v>89304.63</v>
      </c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1052.4157564264294</v>
      </c>
      <c r="F72" s="14">
        <f t="shared" si="1"/>
        <v>197.54215078223376</v>
      </c>
      <c r="J72" s="34"/>
      <c r="K72" s="34"/>
    </row>
    <row r="73" spans="1:11">
      <c r="A73" s="10">
        <v>12.48</v>
      </c>
      <c r="B73" s="10"/>
      <c r="C73" s="30">
        <v>31058</v>
      </c>
      <c r="D73" s="5">
        <v>89344.52</v>
      </c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1048.7383879811221</v>
      </c>
      <c r="F73" s="14">
        <f t="shared" si="1"/>
        <v>193.8647823369264</v>
      </c>
      <c r="J73" s="34"/>
      <c r="K73" s="34"/>
    </row>
    <row r="74" spans="1:11">
      <c r="A74" s="10">
        <v>12.672000000000001</v>
      </c>
      <c r="B74" s="10"/>
      <c r="C74" s="30">
        <v>31054</v>
      </c>
      <c r="D74" s="5">
        <v>89355.16</v>
      </c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1047.7577351656446</v>
      </c>
      <c r="F74" s="14">
        <f t="shared" si="1"/>
        <v>192.88412952144893</v>
      </c>
      <c r="J74" s="34"/>
      <c r="K74" s="34"/>
    </row>
    <row r="75" spans="1:11">
      <c r="A75" s="10">
        <v>12.864000000000001</v>
      </c>
      <c r="B75" s="10"/>
      <c r="C75" s="30">
        <v>31053</v>
      </c>
      <c r="D75" s="5">
        <v>89357.83</v>
      </c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1047.5116651364751</v>
      </c>
      <c r="F75" s="14">
        <f t="shared" si="1"/>
        <v>192.63805949227947</v>
      </c>
      <c r="J75" s="34"/>
      <c r="K75" s="34"/>
    </row>
    <row r="76" spans="1:11">
      <c r="A76" s="10">
        <v>13.055999999999999</v>
      </c>
      <c r="B76" s="10"/>
      <c r="C76" s="30">
        <v>31039</v>
      </c>
      <c r="D76" s="5">
        <v>89395.06</v>
      </c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1044.0811290246586</v>
      </c>
      <c r="F76" s="14">
        <f t="shared" si="1"/>
        <v>189.20752338046293</v>
      </c>
      <c r="J76" s="34"/>
      <c r="K76" s="34"/>
    </row>
    <row r="77" spans="1:11">
      <c r="A77" s="10">
        <v>13.247999999999999</v>
      </c>
      <c r="B77" s="10"/>
      <c r="C77" s="30">
        <v>31029</v>
      </c>
      <c r="D77" s="5">
        <v>89421.66</v>
      </c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1041.6307964033251</v>
      </c>
      <c r="F77" s="14">
        <f t="shared" si="1"/>
        <v>186.75719075912946</v>
      </c>
      <c r="J77" s="34"/>
      <c r="K77" s="34"/>
    </row>
    <row r="78" spans="1:11">
      <c r="A78" s="10">
        <v>13.44</v>
      </c>
      <c r="B78" s="10"/>
      <c r="C78" s="30">
        <v>31020</v>
      </c>
      <c r="D78" s="5">
        <v>89445.61</v>
      </c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1039.4250807563583</v>
      </c>
      <c r="F78" s="14">
        <f t="shared" si="1"/>
        <v>184.55147511216262</v>
      </c>
      <c r="J78" s="34"/>
      <c r="K78" s="34"/>
    </row>
    <row r="79" spans="1:11">
      <c r="A79" s="10">
        <v>13.632</v>
      </c>
      <c r="B79" s="10"/>
      <c r="C79" s="30">
        <v>31011</v>
      </c>
      <c r="D79" s="5">
        <v>89469.55</v>
      </c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1037.2207639583667</v>
      </c>
      <c r="F79" s="14">
        <f t="shared" si="1"/>
        <v>182.347158314171</v>
      </c>
      <c r="J79" s="34"/>
      <c r="K79" s="34"/>
    </row>
    <row r="80" spans="1:11">
      <c r="A80" s="10">
        <v>13.824</v>
      </c>
      <c r="B80" s="10"/>
      <c r="C80" s="30">
        <v>30999</v>
      </c>
      <c r="D80" s="5">
        <v>89501.47</v>
      </c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1034.2824177114712</v>
      </c>
      <c r="F80" s="14">
        <f t="shared" si="1"/>
        <v>179.40881206727556</v>
      </c>
      <c r="J80" s="34"/>
      <c r="K80" s="34"/>
    </row>
    <row r="81" spans="1:11">
      <c r="A81" s="10">
        <v>14.016</v>
      </c>
      <c r="B81" s="10"/>
      <c r="C81" s="30">
        <v>30993</v>
      </c>
      <c r="D81" s="5">
        <v>89517.440000000002</v>
      </c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1032.8126425154107</v>
      </c>
      <c r="F81" s="14">
        <f t="shared" si="1"/>
        <v>177.93903687121508</v>
      </c>
      <c r="J81" s="34"/>
      <c r="K81" s="34"/>
    </row>
    <row r="82" spans="1:11">
      <c r="A82" s="10">
        <v>14.208</v>
      </c>
      <c r="B82" s="10"/>
      <c r="C82" s="30">
        <v>30986</v>
      </c>
      <c r="D82" s="5">
        <v>89536.05</v>
      </c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1031.1001666916861</v>
      </c>
      <c r="F82" s="14">
        <f t="shared" si="1"/>
        <v>176.22656104749046</v>
      </c>
      <c r="J82" s="34"/>
      <c r="K82" s="34"/>
    </row>
    <row r="83" spans="1:11">
      <c r="A83" s="10">
        <v>14.4</v>
      </c>
      <c r="B83" s="10"/>
      <c r="C83" s="30">
        <v>30981</v>
      </c>
      <c r="D83" s="5">
        <v>89549.35</v>
      </c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1029.8764889793549</v>
      </c>
      <c r="F83" s="14">
        <f t="shared" si="1"/>
        <v>175.00288333515925</v>
      </c>
      <c r="J83" s="34"/>
      <c r="K83" s="34"/>
    </row>
    <row r="84" spans="1:11">
      <c r="A84" s="10">
        <v>14.592000000000001</v>
      </c>
      <c r="B84" s="10"/>
      <c r="C84" s="30">
        <v>30963</v>
      </c>
      <c r="D84" s="5">
        <v>89597.23</v>
      </c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1025.4724673717508</v>
      </c>
      <c r="F84" s="14">
        <f t="shared" si="1"/>
        <v>170.59886172755512</v>
      </c>
      <c r="J84" s="34"/>
      <c r="K84" s="34"/>
    </row>
    <row r="85" spans="1:11">
      <c r="A85" s="10">
        <v>14.784000000000001</v>
      </c>
      <c r="B85" s="10"/>
      <c r="C85" s="30">
        <v>30951</v>
      </c>
      <c r="D85" s="5">
        <v>89629.16</v>
      </c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1022.5365922298333</v>
      </c>
      <c r="F85" s="14">
        <f t="shared" si="1"/>
        <v>167.66298658563767</v>
      </c>
      <c r="J85" s="34"/>
      <c r="K85" s="34"/>
    </row>
    <row r="86" spans="1:11">
      <c r="A86" s="10">
        <v>14.976000000000001</v>
      </c>
      <c r="B86" s="10"/>
      <c r="C86" s="30">
        <v>30942</v>
      </c>
      <c r="D86" s="5">
        <v>89653.1</v>
      </c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1020.335930955481</v>
      </c>
      <c r="F86" s="14">
        <f t="shared" si="1"/>
        <v>165.46232531128533</v>
      </c>
      <c r="J86" s="34"/>
      <c r="K86" s="34"/>
    </row>
    <row r="87" spans="1:11">
      <c r="A87" s="10">
        <v>15.167999999999999</v>
      </c>
      <c r="B87" s="10"/>
      <c r="C87" s="30">
        <v>30942</v>
      </c>
      <c r="D87" s="5">
        <v>89653.1</v>
      </c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1020.335930955481</v>
      </c>
      <c r="F87" s="14">
        <f t="shared" si="1"/>
        <v>165.46232531128533</v>
      </c>
      <c r="J87" s="34"/>
      <c r="K87" s="34"/>
    </row>
    <row r="88" spans="1:11">
      <c r="A88" s="10">
        <v>15.36</v>
      </c>
      <c r="B88" s="10"/>
      <c r="C88" s="30">
        <v>30935</v>
      </c>
      <c r="D88" s="5">
        <v>89671.73</v>
      </c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1018.6237154817414</v>
      </c>
      <c r="F88" s="14">
        <f t="shared" si="1"/>
        <v>163.75010983754578</v>
      </c>
      <c r="J88" s="34"/>
      <c r="K88" s="34"/>
    </row>
    <row r="89" spans="1:11">
      <c r="A89" s="10">
        <v>15.552</v>
      </c>
      <c r="B89" s="10"/>
      <c r="C89" s="30">
        <v>30922</v>
      </c>
      <c r="D89" s="5">
        <v>89706.3</v>
      </c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1015.447275653535</v>
      </c>
      <c r="F89" s="14">
        <f t="shared" si="1"/>
        <v>160.57367000933937</v>
      </c>
      <c r="J89" s="34"/>
      <c r="K89" s="34"/>
    </row>
    <row r="90" spans="1:11">
      <c r="A90" s="10">
        <v>15.744</v>
      </c>
      <c r="B90" s="10"/>
      <c r="C90" s="30">
        <v>30909</v>
      </c>
      <c r="D90" s="5">
        <v>89740.89</v>
      </c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1012.269990044196</v>
      </c>
      <c r="F90" s="14">
        <f t="shared" si="1"/>
        <v>157.39638440000033</v>
      </c>
      <c r="J90" s="34"/>
      <c r="K90" s="34"/>
    </row>
    <row r="91" spans="1:11">
      <c r="A91" s="10">
        <v>15.936</v>
      </c>
      <c r="B91" s="10"/>
      <c r="C91" s="30">
        <v>30897</v>
      </c>
      <c r="D91" s="5">
        <v>89772.82</v>
      </c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1009.3379204383801</v>
      </c>
      <c r="F91" s="14">
        <f t="shared" si="1"/>
        <v>154.46431479418447</v>
      </c>
      <c r="J91" s="34"/>
      <c r="K91" s="34"/>
    </row>
    <row r="92" spans="1:11">
      <c r="A92" s="10">
        <v>16.128</v>
      </c>
      <c r="B92" s="10"/>
      <c r="C92" s="30">
        <v>30897</v>
      </c>
      <c r="D92" s="5">
        <v>89772.82</v>
      </c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1009.3379204383801</v>
      </c>
      <c r="F92" s="14">
        <f t="shared" si="1"/>
        <v>154.46431479418447</v>
      </c>
      <c r="J92" s="34"/>
      <c r="K92" s="34"/>
    </row>
    <row r="93" spans="1:11">
      <c r="A93" s="10">
        <v>16.32</v>
      </c>
      <c r="B93" s="10"/>
      <c r="C93" s="30">
        <v>30894</v>
      </c>
      <c r="D93" s="5">
        <v>89780.800000000003</v>
      </c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1008.6052645044767</v>
      </c>
      <c r="F93" s="14">
        <f t="shared" si="1"/>
        <v>153.73165886028107</v>
      </c>
      <c r="J93" s="34"/>
      <c r="K93" s="34"/>
    </row>
    <row r="94" spans="1:11">
      <c r="A94" s="10">
        <v>16.512</v>
      </c>
      <c r="B94" s="10"/>
      <c r="C94" s="30">
        <v>30878</v>
      </c>
      <c r="D94" s="5">
        <v>89823.360000000001</v>
      </c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1004.698656513992</v>
      </c>
      <c r="F94" s="14">
        <f t="shared" si="1"/>
        <v>149.82505086979631</v>
      </c>
      <c r="J94" s="34"/>
      <c r="K94" s="34"/>
    </row>
    <row r="95" spans="1:11">
      <c r="A95" s="10">
        <v>16.704000000000001</v>
      </c>
      <c r="B95" s="10"/>
      <c r="C95" s="30">
        <v>30861</v>
      </c>
      <c r="D95" s="5">
        <v>89868.59</v>
      </c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1000.5486101103932</v>
      </c>
      <c r="F95" s="14">
        <f t="shared" si="1"/>
        <v>145.67500446619749</v>
      </c>
      <c r="J95" s="34"/>
      <c r="K95" s="34"/>
    </row>
    <row r="96" spans="1:11">
      <c r="A96" s="10">
        <v>16.896000000000001</v>
      </c>
      <c r="B96" s="10"/>
      <c r="C96" s="30">
        <v>30858</v>
      </c>
      <c r="D96" s="5">
        <v>89876.58</v>
      </c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999.81566913865618</v>
      </c>
      <c r="F96" s="14">
        <f t="shared" si="1"/>
        <v>144.94206349446051</v>
      </c>
      <c r="J96" s="34"/>
      <c r="K96" s="34"/>
    </row>
    <row r="97" spans="1:11">
      <c r="A97" s="10">
        <v>17.088000000000001</v>
      </c>
      <c r="B97" s="10"/>
      <c r="C97" s="30">
        <v>30849</v>
      </c>
      <c r="D97" s="5">
        <v>89900.52</v>
      </c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997.61991401994283</v>
      </c>
      <c r="F97" s="14">
        <f t="shared" si="1"/>
        <v>142.74630837574716</v>
      </c>
      <c r="J97" s="34"/>
      <c r="K97" s="34"/>
    </row>
    <row r="98" spans="1:11">
      <c r="A98" s="10">
        <v>17.28</v>
      </c>
      <c r="B98" s="10"/>
      <c r="C98" s="36">
        <v>30839</v>
      </c>
      <c r="D98" s="5">
        <v>89927.13</v>
      </c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995.17982446893438</v>
      </c>
      <c r="F98" s="14">
        <f t="shared" si="1"/>
        <v>140.30621882473872</v>
      </c>
      <c r="J98" s="34"/>
      <c r="K98" s="34"/>
    </row>
    <row r="99" spans="1:11">
      <c r="A99" s="10">
        <v>17.472000000000001</v>
      </c>
      <c r="B99" s="10"/>
      <c r="C99" s="36">
        <v>30831</v>
      </c>
      <c r="D99" s="5">
        <v>89948.41</v>
      </c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993.22890710560773</v>
      </c>
      <c r="F99" s="14">
        <f t="shared" ref="F99:F162" si="2">IF(D99&lt;&gt;0,E99-$E$3,0)</f>
        <v>138.35530146141207</v>
      </c>
      <c r="J99" s="34"/>
      <c r="K99" s="34"/>
    </row>
    <row r="100" spans="1:11">
      <c r="A100" s="10">
        <v>17.664000000000001</v>
      </c>
      <c r="B100" s="10"/>
      <c r="C100" s="36">
        <v>30822</v>
      </c>
      <c r="D100" s="5">
        <v>89972.35</v>
      </c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991.03457174824405</v>
      </c>
      <c r="F100" s="14">
        <f t="shared" si="2"/>
        <v>136.16096610404838</v>
      </c>
      <c r="J100" s="34"/>
      <c r="K100" s="34"/>
    </row>
    <row r="101" spans="1:11">
      <c r="A101" s="10">
        <v>17.856000000000002</v>
      </c>
      <c r="B101" s="10"/>
      <c r="C101" s="36">
        <v>30814</v>
      </c>
      <c r="D101" s="5">
        <v>89993.64</v>
      </c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989.08353197562576</v>
      </c>
      <c r="F101" s="14">
        <f t="shared" si="2"/>
        <v>134.2099263314301</v>
      </c>
      <c r="J101" s="34"/>
      <c r="K101" s="34"/>
    </row>
    <row r="102" spans="1:11">
      <c r="A102" s="10">
        <v>18.047999999999998</v>
      </c>
      <c r="B102" s="10"/>
      <c r="C102" s="36">
        <v>30804</v>
      </c>
      <c r="D102" s="5">
        <v>90020.25</v>
      </c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986.64548679384461</v>
      </c>
      <c r="F102" s="14">
        <f t="shared" si="2"/>
        <v>131.77188114964895</v>
      </c>
      <c r="J102" s="34"/>
      <c r="K102" s="34"/>
    </row>
    <row r="103" spans="1:11">
      <c r="A103" s="10">
        <v>18.239999999999998</v>
      </c>
      <c r="B103" s="10"/>
      <c r="C103" s="36">
        <v>30793</v>
      </c>
      <c r="D103" s="5">
        <v>90049.52</v>
      </c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983.96440260670693</v>
      </c>
      <c r="F103" s="14">
        <f t="shared" si="2"/>
        <v>129.09079696251126</v>
      </c>
      <c r="J103" s="34"/>
      <c r="K103" s="34"/>
    </row>
    <row r="104" spans="1:11">
      <c r="A104" s="10">
        <v>18.431999999999999</v>
      </c>
      <c r="B104" s="10"/>
      <c r="C104" s="36">
        <v>30790</v>
      </c>
      <c r="D104" s="5">
        <v>90057.5</v>
      </c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983.23357006262177</v>
      </c>
      <c r="F104" s="14">
        <f t="shared" si="2"/>
        <v>128.3599644184261</v>
      </c>
      <c r="J104" s="34"/>
      <c r="K104" s="34"/>
    </row>
    <row r="105" spans="1:11">
      <c r="A105" s="10">
        <v>18.623999999999999</v>
      </c>
      <c r="B105" s="10"/>
      <c r="C105" s="36">
        <v>30781</v>
      </c>
      <c r="D105" s="5">
        <v>90081.44</v>
      </c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981.04138701245597</v>
      </c>
      <c r="F105" s="14">
        <f t="shared" si="2"/>
        <v>126.16778136826031</v>
      </c>
      <c r="J105" s="34"/>
      <c r="K105" s="34"/>
    </row>
    <row r="106" spans="1:11">
      <c r="A106" s="10">
        <v>18.815999999999999</v>
      </c>
      <c r="B106" s="10"/>
      <c r="C106" s="36">
        <v>30770</v>
      </c>
      <c r="D106" s="5">
        <v>90110.7</v>
      </c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978.36269272622985</v>
      </c>
      <c r="F106" s="14">
        <f t="shared" si="2"/>
        <v>123.48908708203419</v>
      </c>
      <c r="J106" s="34"/>
      <c r="K106" s="34"/>
    </row>
    <row r="107" spans="1:11">
      <c r="A107" s="10">
        <v>19.007999999999999</v>
      </c>
      <c r="B107" s="10"/>
      <c r="C107" s="36">
        <v>30753</v>
      </c>
      <c r="D107" s="5">
        <v>90155.94</v>
      </c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974.22244750084201</v>
      </c>
      <c r="F107" s="14">
        <f t="shared" si="2"/>
        <v>119.34884185664635</v>
      </c>
      <c r="J107" s="34"/>
      <c r="K107" s="34"/>
    </row>
    <row r="108" spans="1:11">
      <c r="A108" s="10">
        <v>19.2</v>
      </c>
      <c r="B108" s="10"/>
      <c r="C108" s="36">
        <v>30744</v>
      </c>
      <c r="D108" s="5">
        <v>90179.89</v>
      </c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972.03128780093641</v>
      </c>
      <c r="F108" s="14">
        <f t="shared" si="2"/>
        <v>117.15768215674075</v>
      </c>
      <c r="J108" s="34"/>
      <c r="K108" s="34"/>
    </row>
    <row r="109" spans="1:11">
      <c r="A109" s="10">
        <v>19.391999999999999</v>
      </c>
      <c r="B109" s="10"/>
      <c r="C109" s="36">
        <v>30744</v>
      </c>
      <c r="D109" s="5">
        <v>90179.89</v>
      </c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972.03128780093641</v>
      </c>
      <c r="F109" s="14">
        <f t="shared" si="2"/>
        <v>117.15768215674075</v>
      </c>
      <c r="J109" s="34"/>
      <c r="K109" s="34"/>
    </row>
    <row r="110" spans="1:11">
      <c r="A110" s="10">
        <v>19.584</v>
      </c>
      <c r="B110" s="10"/>
      <c r="C110" s="36">
        <v>30734</v>
      </c>
      <c r="D110" s="5">
        <v>90206.49</v>
      </c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969.59823468712034</v>
      </c>
      <c r="F110" s="14">
        <f t="shared" si="2"/>
        <v>114.72462904292468</v>
      </c>
      <c r="J110" s="34"/>
      <c r="K110" s="34"/>
    </row>
    <row r="111" spans="1:11">
      <c r="A111" s="10">
        <v>19.776</v>
      </c>
      <c r="B111" s="10"/>
      <c r="C111" s="36">
        <v>30728</v>
      </c>
      <c r="D111" s="5">
        <v>90222.46</v>
      </c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968.137767220363</v>
      </c>
      <c r="F111" s="14">
        <f t="shared" si="2"/>
        <v>113.26416157616734</v>
      </c>
      <c r="J111" s="34"/>
      <c r="K111" s="34"/>
    </row>
    <row r="112" spans="1:11">
      <c r="A112" s="10">
        <v>19.968</v>
      </c>
      <c r="B112" s="10"/>
      <c r="C112" s="36">
        <v>30703</v>
      </c>
      <c r="D112" s="5">
        <v>90288.98</v>
      </c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962.05671846974826</v>
      </c>
      <c r="F112" s="14">
        <f t="shared" si="2"/>
        <v>107.1831128255526</v>
      </c>
      <c r="J112" s="34"/>
      <c r="K112" s="34"/>
    </row>
    <row r="113" spans="1:11">
      <c r="A113" s="10">
        <v>20.16</v>
      </c>
      <c r="B113" s="10"/>
      <c r="C113" s="36">
        <v>30699</v>
      </c>
      <c r="D113" s="5">
        <v>90299.63</v>
      </c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961.08346596226829</v>
      </c>
      <c r="F113" s="14">
        <f t="shared" si="2"/>
        <v>106.20986031807263</v>
      </c>
      <c r="J113" s="34"/>
      <c r="K113" s="34"/>
    </row>
    <row r="114" spans="1:11">
      <c r="A114" s="10">
        <v>20.352</v>
      </c>
      <c r="B114" s="10"/>
      <c r="C114" s="36">
        <v>30693</v>
      </c>
      <c r="D114" s="5">
        <v>90315.59</v>
      </c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959.62513197770249</v>
      </c>
      <c r="F114" s="14">
        <f t="shared" si="2"/>
        <v>104.75152633350683</v>
      </c>
      <c r="J114" s="34"/>
      <c r="K114" s="34"/>
    </row>
    <row r="115" spans="1:11">
      <c r="A115" s="10">
        <v>20.544</v>
      </c>
      <c r="B115" s="10"/>
      <c r="C115" s="36">
        <v>30684</v>
      </c>
      <c r="D115" s="5">
        <v>90339.54</v>
      </c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957.43710873655448</v>
      </c>
      <c r="F115" s="14">
        <f t="shared" si="2"/>
        <v>102.56350309235881</v>
      </c>
      <c r="J115" s="34"/>
      <c r="K115" s="34"/>
    </row>
    <row r="116" spans="1:11">
      <c r="A116" s="10">
        <v>20.736000000000001</v>
      </c>
      <c r="B116" s="10"/>
      <c r="C116" s="36">
        <v>30674</v>
      </c>
      <c r="D116" s="5">
        <v>90366.15</v>
      </c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955.00662409315328</v>
      </c>
      <c r="F116" s="14">
        <f t="shared" si="2"/>
        <v>100.13301844895761</v>
      </c>
      <c r="J116" s="34"/>
      <c r="K116" s="34"/>
    </row>
    <row r="117" spans="1:11">
      <c r="A117" s="10">
        <v>20.928000000000001</v>
      </c>
      <c r="B117" s="10"/>
      <c r="C117" s="36">
        <v>30669</v>
      </c>
      <c r="D117" s="5">
        <v>90379.45</v>
      </c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953.79205566601286</v>
      </c>
      <c r="F117" s="14">
        <f t="shared" si="2"/>
        <v>98.918450021817193</v>
      </c>
      <c r="J117" s="34"/>
      <c r="K117" s="34"/>
    </row>
    <row r="118" spans="1:11">
      <c r="A118" s="10">
        <v>21.12</v>
      </c>
      <c r="B118" s="10"/>
      <c r="C118" s="36">
        <v>30665</v>
      </c>
      <c r="D118" s="5">
        <v>90390.09</v>
      </c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952.82050512295234</v>
      </c>
      <c r="F118" s="14">
        <f t="shared" si="2"/>
        <v>97.946899478756677</v>
      </c>
      <c r="J118" s="34"/>
      <c r="K118" s="34"/>
    </row>
    <row r="119" spans="1:11">
      <c r="A119" s="10">
        <v>21.312000000000001</v>
      </c>
      <c r="B119" s="10"/>
      <c r="C119" s="36">
        <v>30651</v>
      </c>
      <c r="D119" s="5">
        <v>90427.35</v>
      </c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949.41898178847737</v>
      </c>
      <c r="F119" s="14">
        <f t="shared" si="2"/>
        <v>94.545376144281704</v>
      </c>
      <c r="J119" s="34"/>
      <c r="K119" s="34"/>
    </row>
    <row r="120" spans="1:11">
      <c r="A120" s="10">
        <v>21.504000000000001</v>
      </c>
      <c r="B120" s="10"/>
      <c r="C120" s="36">
        <v>30640</v>
      </c>
      <c r="D120" s="5">
        <v>90456.63</v>
      </c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946.74676131144679</v>
      </c>
      <c r="F120" s="14">
        <f t="shared" si="2"/>
        <v>91.873155667251126</v>
      </c>
      <c r="J120" s="34"/>
      <c r="K120" s="34"/>
    </row>
    <row r="121" spans="1:11">
      <c r="A121" s="10">
        <v>21.696000000000002</v>
      </c>
      <c r="B121" s="10"/>
      <c r="C121" s="36">
        <v>30624</v>
      </c>
      <c r="D121" s="5">
        <v>90499.199999999997</v>
      </c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942.86288661860647</v>
      </c>
      <c r="F121" s="14">
        <f t="shared" si="2"/>
        <v>87.989280974410804</v>
      </c>
      <c r="J121" s="34"/>
      <c r="K121" s="34"/>
    </row>
    <row r="122" spans="1:11">
      <c r="A122" s="10">
        <v>21.888000000000002</v>
      </c>
      <c r="B122" s="10"/>
      <c r="C122" s="36">
        <v>30624</v>
      </c>
      <c r="D122" s="5">
        <v>90499.199999999997</v>
      </c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942.86288661860647</v>
      </c>
      <c r="F122" s="14">
        <f t="shared" si="2"/>
        <v>87.989280974410804</v>
      </c>
      <c r="J122" s="34"/>
      <c r="K122" s="34"/>
    </row>
    <row r="123" spans="1:11">
      <c r="A123" s="10">
        <v>22.08</v>
      </c>
      <c r="B123" s="10"/>
      <c r="C123" s="36">
        <v>30613</v>
      </c>
      <c r="D123" s="5">
        <v>90528.47</v>
      </c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940.19329583221133</v>
      </c>
      <c r="F123" s="14">
        <f t="shared" si="2"/>
        <v>85.31969018801567</v>
      </c>
      <c r="J123" s="34"/>
      <c r="K123" s="34"/>
    </row>
    <row r="124" spans="1:11">
      <c r="A124" s="10">
        <v>22.271999999999998</v>
      </c>
      <c r="B124" s="10"/>
      <c r="C124" s="36">
        <v>30604</v>
      </c>
      <c r="D124" s="5">
        <v>90552.42</v>
      </c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938.00943922407293</v>
      </c>
      <c r="F124" s="14">
        <f t="shared" si="2"/>
        <v>83.135833579877271</v>
      </c>
      <c r="J124" s="34"/>
      <c r="K124" s="34"/>
    </row>
    <row r="125" spans="1:11">
      <c r="A125" s="10">
        <v>22.463999999999999</v>
      </c>
      <c r="B125" s="10"/>
      <c r="C125" s="36">
        <v>30593</v>
      </c>
      <c r="D125" s="5">
        <v>90581.69</v>
      </c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935.34111877034343</v>
      </c>
      <c r="F125" s="14">
        <f t="shared" si="2"/>
        <v>80.467513126147765</v>
      </c>
      <c r="J125" s="34"/>
      <c r="K125" s="34"/>
    </row>
    <row r="126" spans="1:11">
      <c r="A126" s="10">
        <v>22.655999999999999</v>
      </c>
      <c r="B126" s="10"/>
      <c r="C126" s="36">
        <v>30585</v>
      </c>
      <c r="D126" s="5">
        <v>90602.98</v>
      </c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933.40071202104218</v>
      </c>
      <c r="F126" s="14">
        <f t="shared" si="2"/>
        <v>78.527106376846518</v>
      </c>
      <c r="J126" s="34"/>
      <c r="K126" s="34"/>
    </row>
    <row r="127" spans="1:11">
      <c r="A127" s="10">
        <v>22.847999999999999</v>
      </c>
      <c r="B127" s="10"/>
      <c r="C127" s="36">
        <v>30576</v>
      </c>
      <c r="D127" s="5">
        <v>90626.93</v>
      </c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931.21830958781732</v>
      </c>
      <c r="F127" s="14">
        <f t="shared" si="2"/>
        <v>76.344703943621653</v>
      </c>
      <c r="J127" s="34"/>
      <c r="K127" s="34"/>
    </row>
    <row r="128" spans="1:11">
      <c r="A128" s="10">
        <v>23.04</v>
      </c>
      <c r="B128" s="10"/>
      <c r="C128" s="36">
        <v>30563</v>
      </c>
      <c r="D128" s="5">
        <v>90661.53</v>
      </c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928.06626881707837</v>
      </c>
      <c r="F128" s="14">
        <f t="shared" si="2"/>
        <v>73.192663172882703</v>
      </c>
      <c r="J128" s="34"/>
      <c r="K128" s="34"/>
    </row>
    <row r="129" spans="1:11">
      <c r="A129" s="10">
        <v>23.231999999999999</v>
      </c>
      <c r="B129" s="10"/>
      <c r="C129" s="36">
        <v>30553</v>
      </c>
      <c r="D129" s="5">
        <v>90688.14</v>
      </c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925.64277517281653</v>
      </c>
      <c r="F129" s="14">
        <f t="shared" si="2"/>
        <v>70.769169528620864</v>
      </c>
      <c r="J129" s="34"/>
      <c r="K129" s="34"/>
    </row>
    <row r="130" spans="1:11">
      <c r="A130" s="10">
        <v>23.423999999999999</v>
      </c>
      <c r="B130" s="10"/>
      <c r="C130" s="36">
        <v>30548</v>
      </c>
      <c r="D130" s="5">
        <v>90701.45</v>
      </c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924.4307890088221</v>
      </c>
      <c r="F130" s="14">
        <f t="shared" si="2"/>
        <v>69.557183364626439</v>
      </c>
      <c r="J130" s="34"/>
      <c r="K130" s="34"/>
    </row>
    <row r="131" spans="1:11">
      <c r="A131" s="10">
        <v>23.616</v>
      </c>
      <c r="B131" s="10"/>
      <c r="C131" s="36">
        <v>30547</v>
      </c>
      <c r="D131" s="5">
        <v>90704.11</v>
      </c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924.18859115940711</v>
      </c>
      <c r="F131" s="14">
        <f t="shared" si="2"/>
        <v>69.314985515211447</v>
      </c>
      <c r="J131" s="34"/>
      <c r="K131" s="34"/>
    </row>
    <row r="132" spans="1:11">
      <c r="A132" s="10">
        <v>23.808</v>
      </c>
      <c r="B132" s="10"/>
      <c r="C132" s="36">
        <v>30527</v>
      </c>
      <c r="D132" s="5">
        <v>90757.33</v>
      </c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919.3440213814572</v>
      </c>
      <c r="F132" s="14">
        <f t="shared" si="2"/>
        <v>64.470415737261533</v>
      </c>
      <c r="J132" s="34"/>
      <c r="K132" s="34"/>
    </row>
    <row r="133" spans="1:11">
      <c r="A133" s="10">
        <v>24</v>
      </c>
      <c r="B133" s="10"/>
      <c r="C133" s="36">
        <v>30515</v>
      </c>
      <c r="D133" s="5">
        <v>90789.27</v>
      </c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916.4376557198774</v>
      </c>
      <c r="F133" s="14">
        <f t="shared" si="2"/>
        <v>61.564050075681735</v>
      </c>
      <c r="J133" s="34"/>
      <c r="K133" s="34"/>
    </row>
    <row r="134" spans="1:11">
      <c r="A134" s="10">
        <v>24.192</v>
      </c>
      <c r="B134" s="10"/>
      <c r="C134" s="36">
        <v>30508</v>
      </c>
      <c r="D134" s="5">
        <v>90807.89</v>
      </c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914.74371934890235</v>
      </c>
      <c r="F134" s="14">
        <f t="shared" si="2"/>
        <v>59.870113704706682</v>
      </c>
      <c r="J134" s="34"/>
      <c r="K134" s="34"/>
    </row>
    <row r="135" spans="1:11">
      <c r="A135" s="10">
        <v>24.384</v>
      </c>
      <c r="B135" s="10"/>
      <c r="C135" s="36">
        <v>30496</v>
      </c>
      <c r="D135" s="5">
        <v>90839.83</v>
      </c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911.83866384701309</v>
      </c>
      <c r="F135" s="14">
        <f t="shared" si="2"/>
        <v>56.965058202817431</v>
      </c>
      <c r="J135" s="34"/>
      <c r="K135" s="34"/>
    </row>
    <row r="136" spans="1:11">
      <c r="A136" s="10">
        <v>24.576000000000001</v>
      </c>
      <c r="B136" s="10"/>
      <c r="C136" s="36">
        <v>30483</v>
      </c>
      <c r="D136" s="5">
        <v>90874.44</v>
      </c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908.69169598983854</v>
      </c>
      <c r="F136" s="14">
        <f t="shared" si="2"/>
        <v>53.818090345642872</v>
      </c>
      <c r="J136" s="34"/>
      <c r="K136" s="34"/>
    </row>
    <row r="137" spans="1:11">
      <c r="A137" s="10">
        <v>24.768000000000001</v>
      </c>
      <c r="B137" s="10"/>
      <c r="C137" s="36">
        <v>30478</v>
      </c>
      <c r="D137" s="5">
        <v>90887.73</v>
      </c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907.48354003514692</v>
      </c>
      <c r="F137" s="14">
        <f t="shared" si="2"/>
        <v>52.609934390951253</v>
      </c>
      <c r="J137" s="34"/>
      <c r="K137" s="34"/>
    </row>
    <row r="138" spans="1:11">
      <c r="A138" s="10">
        <v>24.96</v>
      </c>
      <c r="B138" s="10"/>
      <c r="C138" s="36">
        <v>30473</v>
      </c>
      <c r="D138" s="5">
        <v>90901.05</v>
      </c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906.2728003918952</v>
      </c>
      <c r="F138" s="14">
        <f t="shared" si="2"/>
        <v>51.399194747699539</v>
      </c>
      <c r="J138" s="34"/>
      <c r="K138" s="34"/>
    </row>
    <row r="139" spans="1:11">
      <c r="A139" s="10">
        <v>25.152000000000001</v>
      </c>
      <c r="B139" s="10"/>
      <c r="C139" s="36">
        <v>30464</v>
      </c>
      <c r="D139" s="5">
        <v>90925</v>
      </c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904.09619366632182</v>
      </c>
      <c r="F139" s="14">
        <f t="shared" si="2"/>
        <v>49.22258802212616</v>
      </c>
      <c r="J139" s="34"/>
      <c r="K139" s="34"/>
    </row>
    <row r="140" spans="1:11">
      <c r="A140" s="10">
        <v>25.344000000000001</v>
      </c>
      <c r="B140" s="10"/>
      <c r="C140" s="36">
        <v>30452</v>
      </c>
      <c r="D140" s="5">
        <v>90956.94</v>
      </c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901.19416776886055</v>
      </c>
      <c r="F140" s="14">
        <f t="shared" si="2"/>
        <v>46.320562124664889</v>
      </c>
      <c r="J140" s="34"/>
      <c r="K140" s="34"/>
    </row>
    <row r="141" spans="1:11">
      <c r="A141" s="10">
        <v>25.536000000000001</v>
      </c>
      <c r="B141" s="10"/>
      <c r="C141" s="36">
        <v>30437</v>
      </c>
      <c r="D141" s="5">
        <v>90996.86</v>
      </c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897.5682496354608</v>
      </c>
      <c r="F141" s="14">
        <f t="shared" si="2"/>
        <v>42.694643991265139</v>
      </c>
      <c r="J141" s="34"/>
      <c r="K141" s="34"/>
    </row>
    <row r="142" spans="1:11">
      <c r="A142" s="10">
        <v>25.728000000000002</v>
      </c>
      <c r="B142" s="10"/>
      <c r="C142" s="36">
        <v>30435</v>
      </c>
      <c r="D142" s="5">
        <v>91002.19</v>
      </c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897.08422527325263</v>
      </c>
      <c r="F142" s="14">
        <f t="shared" si="2"/>
        <v>42.210619629056964</v>
      </c>
      <c r="J142" s="34"/>
      <c r="K142" s="34"/>
    </row>
    <row r="143" spans="1:11">
      <c r="A143" s="10">
        <v>25.92</v>
      </c>
      <c r="B143" s="10"/>
      <c r="C143" s="36">
        <v>30429</v>
      </c>
      <c r="D143" s="5">
        <v>91018.16</v>
      </c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895.63410583176096</v>
      </c>
      <c r="F143" s="14">
        <f t="shared" si="2"/>
        <v>40.760500187565299</v>
      </c>
      <c r="J143" s="34"/>
      <c r="K143" s="34"/>
    </row>
    <row r="144" spans="1:11">
      <c r="A144" s="10">
        <v>26.111999999999998</v>
      </c>
      <c r="B144" s="10"/>
      <c r="C144" s="36">
        <v>30414</v>
      </c>
      <c r="D144" s="5">
        <v>91058.08</v>
      </c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892.01016221000361</v>
      </c>
      <c r="F144" s="14">
        <f t="shared" si="2"/>
        <v>37.13655656580795</v>
      </c>
      <c r="J144" s="34"/>
      <c r="K144" s="34"/>
    </row>
    <row r="145" spans="1:11">
      <c r="A145" s="10">
        <v>26.303999999999998</v>
      </c>
      <c r="B145" s="10"/>
      <c r="C145" s="36">
        <v>30404</v>
      </c>
      <c r="D145" s="5">
        <v>91084.69</v>
      </c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889.59521690859981</v>
      </c>
      <c r="F145" s="14">
        <f t="shared" si="2"/>
        <v>34.721611264404146</v>
      </c>
      <c r="J145" s="34"/>
      <c r="K145" s="34"/>
    </row>
    <row r="146" spans="1:11">
      <c r="A146" s="10">
        <v>26.495999999999999</v>
      </c>
      <c r="B146" s="10"/>
      <c r="C146" s="36">
        <v>30403</v>
      </c>
      <c r="D146" s="5">
        <v>91087.35</v>
      </c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889.35384454066536</v>
      </c>
      <c r="F146" s="14">
        <f t="shared" si="2"/>
        <v>34.4802388964697</v>
      </c>
      <c r="J146" s="34"/>
      <c r="K146" s="34"/>
    </row>
    <row r="147" spans="1:11">
      <c r="A147" s="10">
        <v>26.687999999999999</v>
      </c>
      <c r="B147" s="10"/>
      <c r="C147" s="36">
        <v>30390</v>
      </c>
      <c r="D147" s="5">
        <v>91121.95</v>
      </c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886.21470878438845</v>
      </c>
      <c r="F147" s="14">
        <f t="shared" si="2"/>
        <v>31.341103140192786</v>
      </c>
      <c r="J147" s="34"/>
      <c r="K147" s="34"/>
    </row>
    <row r="148" spans="1:11">
      <c r="A148" s="10">
        <v>26.88</v>
      </c>
      <c r="B148" s="10"/>
      <c r="C148" s="36">
        <v>30378</v>
      </c>
      <c r="D148" s="5">
        <v>91153.89</v>
      </c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883.3177620408137</v>
      </c>
      <c r="F148" s="14">
        <f t="shared" si="2"/>
        <v>28.444156396618041</v>
      </c>
      <c r="J148" s="34"/>
      <c r="K148" s="34"/>
    </row>
    <row r="149" spans="1:11">
      <c r="A149" s="10">
        <v>27.071999999999999</v>
      </c>
      <c r="B149" s="10"/>
      <c r="C149" s="36">
        <v>30365</v>
      </c>
      <c r="D149" s="5">
        <v>91188.5</v>
      </c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880.17957497471673</v>
      </c>
      <c r="F149" s="14">
        <f t="shared" si="2"/>
        <v>25.305969330521066</v>
      </c>
      <c r="J149" s="34"/>
      <c r="K149" s="34"/>
    </row>
    <row r="150" spans="1:11">
      <c r="A150" s="10">
        <v>27.263999999999999</v>
      </c>
      <c r="B150" s="10"/>
      <c r="C150" s="36">
        <v>30357</v>
      </c>
      <c r="D150" s="5">
        <v>91209.79</v>
      </c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878.24962924797683</v>
      </c>
      <c r="F150" s="14">
        <f t="shared" si="2"/>
        <v>23.376023603781164</v>
      </c>
      <c r="J150" s="34"/>
      <c r="K150" s="34"/>
    </row>
    <row r="151" spans="1:11">
      <c r="A151" s="10">
        <v>27.456</v>
      </c>
      <c r="B151" s="10"/>
      <c r="C151" s="36">
        <v>30356</v>
      </c>
      <c r="D151" s="5">
        <v>91212.45</v>
      </c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878.00852498053996</v>
      </c>
      <c r="F151" s="14">
        <f t="shared" si="2"/>
        <v>23.134919336344296</v>
      </c>
      <c r="J151" s="34"/>
      <c r="K151" s="34"/>
    </row>
    <row r="152" spans="1:11">
      <c r="A152" s="10">
        <v>27.648</v>
      </c>
      <c r="B152" s="10"/>
      <c r="C152" s="36">
        <v>30344</v>
      </c>
      <c r="D152" s="5">
        <v>91244.39</v>
      </c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875.1139054910559</v>
      </c>
      <c r="F152" s="14">
        <f t="shared" si="2"/>
        <v>20.240299846860239</v>
      </c>
      <c r="J152" s="34"/>
      <c r="K152" s="34"/>
    </row>
    <row r="153" spans="1:11">
      <c r="A153" s="10">
        <v>27.84</v>
      </c>
      <c r="B153" s="10"/>
      <c r="C153" s="36">
        <v>30339</v>
      </c>
      <c r="D153" s="5">
        <v>91257.7</v>
      </c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873.90790518059066</v>
      </c>
      <c r="F153" s="14">
        <f t="shared" si="2"/>
        <v>19.034299536394997</v>
      </c>
      <c r="J153" s="34"/>
      <c r="K153" s="34"/>
    </row>
    <row r="154" spans="1:11">
      <c r="A154" s="10">
        <v>28.032</v>
      </c>
      <c r="B154" s="10"/>
      <c r="C154" s="36">
        <v>30320</v>
      </c>
      <c r="D154" s="5">
        <v>91308.27</v>
      </c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869.32712706169877</v>
      </c>
      <c r="F154" s="14">
        <f t="shared" si="2"/>
        <v>14.453521417503111</v>
      </c>
      <c r="J154" s="34"/>
      <c r="K154" s="34"/>
    </row>
    <row r="155" spans="1:11">
      <c r="A155" s="10">
        <v>28.224</v>
      </c>
      <c r="B155" s="10"/>
      <c r="C155" s="36">
        <v>30314</v>
      </c>
      <c r="D155" s="5">
        <v>91324.25</v>
      </c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867.8800391924899</v>
      </c>
      <c r="F155" s="14">
        <f t="shared" si="2"/>
        <v>13.00643354829424</v>
      </c>
      <c r="J155" s="34"/>
      <c r="K155" s="34"/>
    </row>
    <row r="156" spans="1:11">
      <c r="A156" s="10">
        <v>28.416</v>
      </c>
      <c r="B156" s="10"/>
      <c r="C156" s="36">
        <v>30305</v>
      </c>
      <c r="D156" s="5">
        <v>91348.2</v>
      </c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865.71160239382277</v>
      </c>
      <c r="F156" s="14">
        <f t="shared" si="2"/>
        <v>10.837996749627109</v>
      </c>
      <c r="J156" s="34"/>
      <c r="K156" s="34"/>
    </row>
    <row r="157" spans="1:11">
      <c r="A157" s="10">
        <v>28.608000000000001</v>
      </c>
      <c r="B157" s="10"/>
      <c r="C157" s="36">
        <v>30297</v>
      </c>
      <c r="D157" s="5">
        <v>91369.5</v>
      </c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863.78348375165876</v>
      </c>
      <c r="F157" s="14">
        <f t="shared" si="2"/>
        <v>8.9098781074631006</v>
      </c>
      <c r="J157" s="34"/>
      <c r="K157" s="34"/>
    </row>
    <row r="158" spans="1:11">
      <c r="A158" s="10">
        <v>28.8</v>
      </c>
      <c r="B158" s="10"/>
      <c r="C158" s="36">
        <v>30289</v>
      </c>
      <c r="D158" s="5">
        <v>91390.8</v>
      </c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861.85572903708157</v>
      </c>
      <c r="F158" s="14">
        <f t="shared" si="2"/>
        <v>6.9821233928859101</v>
      </c>
      <c r="J158" s="34"/>
      <c r="K158" s="34"/>
    </row>
    <row r="159" spans="1:11">
      <c r="A159" s="10">
        <v>28.992000000000001</v>
      </c>
      <c r="B159" s="10"/>
      <c r="C159" s="36">
        <v>30276</v>
      </c>
      <c r="D159" s="5">
        <v>91425.4</v>
      </c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858.72503427766969</v>
      </c>
      <c r="F159" s="14">
        <f t="shared" si="2"/>
        <v>3.8514286334740291</v>
      </c>
      <c r="J159" s="34"/>
      <c r="K159" s="34"/>
    </row>
    <row r="160" spans="1:11">
      <c r="A160" s="10">
        <v>29.184000000000001</v>
      </c>
      <c r="B160" s="10"/>
      <c r="C160" s="36">
        <v>30275</v>
      </c>
      <c r="D160" s="5">
        <v>91428.06</v>
      </c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858.48439052332378</v>
      </c>
      <c r="F160" s="14">
        <f t="shared" si="2"/>
        <v>3.6107848791281185</v>
      </c>
      <c r="J160" s="34"/>
      <c r="K160" s="34"/>
    </row>
    <row r="161" spans="1:11">
      <c r="A161" s="10">
        <v>29.376000000000001</v>
      </c>
      <c r="B161" s="10"/>
      <c r="C161" s="36">
        <v>30259</v>
      </c>
      <c r="D161" s="5">
        <v>91470.65</v>
      </c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854.63214827846139</v>
      </c>
      <c r="F161" s="14">
        <f t="shared" si="2"/>
        <v>-0.24145736573427712</v>
      </c>
      <c r="J161" s="34"/>
      <c r="K161" s="34"/>
    </row>
    <row r="162" spans="1:11">
      <c r="A162" s="10">
        <v>29.568000000000001</v>
      </c>
      <c r="B162" s="10"/>
      <c r="C162" s="36">
        <v>30261</v>
      </c>
      <c r="D162" s="5">
        <v>91465.33</v>
      </c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855.11325998386906</v>
      </c>
      <c r="F162" s="14">
        <f t="shared" si="2"/>
        <v>0.23965433967339322</v>
      </c>
      <c r="J162" s="34"/>
      <c r="K162" s="34"/>
    </row>
    <row r="163" spans="1:11">
      <c r="A163" s="10">
        <v>29.76</v>
      </c>
      <c r="B163" s="10"/>
      <c r="C163" s="36">
        <v>30260</v>
      </c>
      <c r="D163" s="5">
        <v>91467.98</v>
      </c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854.87360564419566</v>
      </c>
      <c r="F163" s="14">
        <f t="shared" ref="F163:F226" si="3">IF(D163&lt;&gt;0,E163-$E$3,0)</f>
        <v>0</v>
      </c>
      <c r="J163" s="34"/>
      <c r="K163" s="34"/>
    </row>
    <row r="164" spans="1:11">
      <c r="A164" s="10">
        <v>29.952000000000002</v>
      </c>
      <c r="B164" s="10"/>
      <c r="C164" s="36">
        <v>30260</v>
      </c>
      <c r="D164" s="5">
        <v>91467.98</v>
      </c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854.87360564419566</v>
      </c>
      <c r="F164" s="14">
        <f t="shared" si="3"/>
        <v>0</v>
      </c>
      <c r="J164" s="34"/>
      <c r="K164" s="34"/>
    </row>
    <row r="165" spans="1:11">
      <c r="A165" s="10">
        <v>30.143999999999998</v>
      </c>
      <c r="B165" s="10"/>
      <c r="C165" s="36">
        <v>30258</v>
      </c>
      <c r="D165" s="5">
        <v>91473.31</v>
      </c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854.39160092242264</v>
      </c>
      <c r="F165" s="14">
        <f t="shared" si="3"/>
        <v>-0.48200472177302345</v>
      </c>
      <c r="J165" s="34"/>
      <c r="K165" s="34"/>
    </row>
    <row r="166" spans="1:11">
      <c r="A166" s="10">
        <v>30.335999999999999</v>
      </c>
      <c r="B166" s="10"/>
      <c r="C166" s="36">
        <v>30260</v>
      </c>
      <c r="D166" s="5">
        <v>91467.98</v>
      </c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854.87360564419566</v>
      </c>
      <c r="F166" s="14">
        <f t="shared" si="3"/>
        <v>0</v>
      </c>
      <c r="J166" s="34"/>
      <c r="K166" s="34"/>
    </row>
    <row r="167" spans="1:11">
      <c r="A167" s="10">
        <v>30.527999999999999</v>
      </c>
      <c r="B167" s="10"/>
      <c r="C167" s="36">
        <v>30259</v>
      </c>
      <c r="D167" s="5">
        <v>91470.65</v>
      </c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854.63214827846139</v>
      </c>
      <c r="F167" s="14">
        <f t="shared" si="3"/>
        <v>-0.24145736573427712</v>
      </c>
      <c r="J167" s="34"/>
      <c r="K167" s="34"/>
    </row>
    <row r="168" spans="1:11">
      <c r="A168" s="10">
        <v>30.72</v>
      </c>
      <c r="B168" s="10"/>
      <c r="C168" s="36">
        <v>30259</v>
      </c>
      <c r="D168" s="5">
        <v>91470.65</v>
      </c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854.63214827846139</v>
      </c>
      <c r="F168" s="14">
        <f t="shared" si="3"/>
        <v>-0.24145736573427712</v>
      </c>
      <c r="J168" s="34"/>
      <c r="K168" s="34"/>
    </row>
    <row r="169" spans="1:11">
      <c r="A169" s="10">
        <v>30.911999999999999</v>
      </c>
      <c r="B169" s="10"/>
      <c r="C169" s="36">
        <v>30259</v>
      </c>
      <c r="D169" s="5">
        <v>91470.65</v>
      </c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854.63214827846139</v>
      </c>
      <c r="F169" s="14">
        <f t="shared" si="3"/>
        <v>-0.24145736573427712</v>
      </c>
      <c r="J169" s="34"/>
      <c r="K169" s="34"/>
    </row>
    <row r="170" spans="1:11">
      <c r="A170" s="10">
        <v>31.103999999999999</v>
      </c>
      <c r="B170" s="10"/>
      <c r="C170" s="36">
        <v>30259</v>
      </c>
      <c r="D170" s="5">
        <v>91470.65</v>
      </c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854.63214827846139</v>
      </c>
      <c r="F170" s="14">
        <f t="shared" si="3"/>
        <v>-0.24145736573427712</v>
      </c>
      <c r="J170" s="34"/>
      <c r="K170" s="34"/>
    </row>
    <row r="171" spans="1:11">
      <c r="A171" s="10">
        <v>31.295999999999999</v>
      </c>
      <c r="B171" s="10"/>
      <c r="C171" s="36">
        <v>30259</v>
      </c>
      <c r="D171" s="5">
        <v>91470.65</v>
      </c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854.63214827846139</v>
      </c>
      <c r="F171" s="14">
        <f t="shared" si="3"/>
        <v>-0.24145736573427712</v>
      </c>
      <c r="J171" s="34"/>
      <c r="K171" s="34"/>
    </row>
    <row r="172" spans="1:11">
      <c r="A172" s="10">
        <v>31.488</v>
      </c>
      <c r="B172" s="10"/>
      <c r="C172" s="36">
        <v>30258</v>
      </c>
      <c r="D172" s="5">
        <v>91473.31</v>
      </c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854.39160092242264</v>
      </c>
      <c r="F172" s="14">
        <f t="shared" si="3"/>
        <v>-0.48200472177302345</v>
      </c>
      <c r="J172" s="34"/>
      <c r="K172" s="34"/>
    </row>
    <row r="173" spans="1:11">
      <c r="A173" s="10">
        <v>31.68</v>
      </c>
      <c r="B173" s="10"/>
      <c r="C173" s="36">
        <v>30257</v>
      </c>
      <c r="D173" s="5">
        <v>91475.98</v>
      </c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854.15015494903548</v>
      </c>
      <c r="F173" s="14">
        <f t="shared" si="3"/>
        <v>-0.72345069516018157</v>
      </c>
      <c r="J173" s="34"/>
      <c r="K173" s="34"/>
    </row>
    <row r="174" spans="1:11">
      <c r="A174" s="10">
        <v>31.872</v>
      </c>
      <c r="B174" s="10"/>
      <c r="C174" s="36">
        <v>30259</v>
      </c>
      <c r="D174" s="5">
        <v>91470.65</v>
      </c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854.63214827846139</v>
      </c>
      <c r="F174" s="14">
        <f t="shared" si="3"/>
        <v>-0.24145736573427712</v>
      </c>
      <c r="J174" s="34"/>
      <c r="K174" s="34"/>
    </row>
    <row r="175" spans="1:11">
      <c r="A175" s="10">
        <v>32.064</v>
      </c>
      <c r="B175" s="10"/>
      <c r="C175" s="36">
        <v>30258</v>
      </c>
      <c r="D175" s="5">
        <v>91473.31</v>
      </c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854.39160092242264</v>
      </c>
      <c r="F175" s="14">
        <f t="shared" si="3"/>
        <v>-0.48200472177302345</v>
      </c>
      <c r="J175" s="34"/>
      <c r="K175" s="34"/>
    </row>
    <row r="176" spans="1:11">
      <c r="A176" s="10">
        <v>32.256</v>
      </c>
      <c r="B176" s="10"/>
      <c r="C176" s="36">
        <v>30257</v>
      </c>
      <c r="D176" s="5">
        <v>91475.98</v>
      </c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854.15015494903548</v>
      </c>
      <c r="F176" s="14">
        <f t="shared" si="3"/>
        <v>-0.72345069516018157</v>
      </c>
      <c r="J176" s="34"/>
      <c r="K176" s="34"/>
    </row>
    <row r="177" spans="1:11">
      <c r="A177" s="10">
        <v>32.448</v>
      </c>
      <c r="B177" s="10"/>
      <c r="C177" s="36">
        <v>30258</v>
      </c>
      <c r="D177" s="5">
        <v>91473.31</v>
      </c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854.39160092242264</v>
      </c>
      <c r="F177" s="14">
        <f t="shared" si="3"/>
        <v>-0.48200472177302345</v>
      </c>
      <c r="J177" s="34"/>
      <c r="K177" s="34"/>
    </row>
    <row r="178" spans="1:11">
      <c r="A178" s="10">
        <v>32.64</v>
      </c>
      <c r="B178" s="10"/>
      <c r="C178" s="36">
        <v>30257</v>
      </c>
      <c r="D178" s="5">
        <v>91475.98</v>
      </c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854.15015494903548</v>
      </c>
      <c r="F178" s="14">
        <f t="shared" si="3"/>
        <v>-0.72345069516018157</v>
      </c>
      <c r="J178" s="34"/>
      <c r="K178" s="34"/>
    </row>
    <row r="179" spans="1:11">
      <c r="A179" s="10">
        <v>32.832000000000001</v>
      </c>
      <c r="B179" s="10"/>
      <c r="C179" s="36">
        <v>30258</v>
      </c>
      <c r="D179" s="5">
        <v>91473.31</v>
      </c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854.39160092242264</v>
      </c>
      <c r="F179" s="14">
        <f t="shared" si="3"/>
        <v>-0.48200472177302345</v>
      </c>
      <c r="J179" s="34"/>
      <c r="K179" s="34"/>
    </row>
    <row r="180" spans="1:11">
      <c r="A180" s="10">
        <v>33.024000000000001</v>
      </c>
      <c r="B180" s="10"/>
      <c r="C180" s="36">
        <v>30258</v>
      </c>
      <c r="D180" s="5">
        <v>91473.31</v>
      </c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854.39160092242264</v>
      </c>
      <c r="F180" s="14">
        <f t="shared" si="3"/>
        <v>-0.48200472177302345</v>
      </c>
      <c r="J180" s="34"/>
      <c r="K180" s="34"/>
    </row>
    <row r="181" spans="1:11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5:C5"/>
    <mergeCell ref="A1:B1"/>
    <mergeCell ref="A2:C2"/>
    <mergeCell ref="A3:C3"/>
    <mergeCell ref="A4:C4"/>
  </mergeCells>
  <pageMargins left="0.511811024" right="0.511811024" top="0.78740157499999996" bottom="0.78740157499999996" header="0.31496062000000002" footer="0.31496062000000002"/>
  <pageSetup orientation="landscape" r:id="rId1"/>
  <drawing r:id="rId2"/>
  <legacyDrawing r:id="rId3"/>
  <controls>
    <control shapeId="3074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100</vt:i4>
      </vt:variant>
    </vt:vector>
  </HeadingPairs>
  <TitlesOfParts>
    <vt:vector size="102" baseType="lpstr">
      <vt:lpstr>Modelo Atmosférico</vt:lpstr>
      <vt:lpstr>Leitura Dados de Vôo</vt:lpstr>
      <vt:lpstr>'Leitura Dados de Vôo'!P1_flight_data_raw</vt:lpstr>
      <vt:lpstr>'Leitura Dados de Vôo'!P1_flight_data_raw_1</vt:lpstr>
      <vt:lpstr>'Leitura Dados de Vôo'!P1_flight_data_raw_23</vt:lpstr>
      <vt:lpstr>'Leitura Dados de Vôo'!P1_flight_data_raw_3</vt:lpstr>
      <vt:lpstr>'Leitura Dados de Vôo'!P1_flight_data_raw_38</vt:lpstr>
      <vt:lpstr>'Leitura Dados de Vôo'!P1_flight_data_raw_4</vt:lpstr>
      <vt:lpstr>'Leitura Dados de Vôo'!P1_flight_data_raw_40</vt:lpstr>
      <vt:lpstr>'Leitura Dados de Vôo'!P1_flight_data_raw_41</vt:lpstr>
      <vt:lpstr>'Leitura Dados de Vôo'!P1_flight_data_raw_43</vt:lpstr>
      <vt:lpstr>'Leitura Dados de Vôo'!P1_flight_data_raw_49</vt:lpstr>
      <vt:lpstr>'Leitura Dados de Vôo'!P1_flight_data_raw_50</vt:lpstr>
      <vt:lpstr>'Leitura Dados de Vôo'!P1_flight_data_raw_54</vt:lpstr>
      <vt:lpstr>'Leitura Dados de Vôo'!P1_flight_data_raw_55</vt:lpstr>
      <vt:lpstr>'Leitura Dados de Vôo'!P1_flight_data_raw_56</vt:lpstr>
      <vt:lpstr>'Leitura Dados de Vôo'!P1_flight_data_raw_58</vt:lpstr>
      <vt:lpstr>'Leitura Dados de Vôo'!P1_flight_data_raw_64</vt:lpstr>
      <vt:lpstr>'Leitura Dados de Vôo'!P1_flight_data_raw_65</vt:lpstr>
      <vt:lpstr>'Leitura Dados de Vôo'!P1_flight_data_raw_66</vt:lpstr>
      <vt:lpstr>'Leitura Dados de Vôo'!P1_flight_data_raw_67</vt:lpstr>
      <vt:lpstr>'Leitura Dados de Vôo'!P1_flight_data_raw_8</vt:lpstr>
      <vt:lpstr>'Leitura Dados de Vôo'!P1_flight_data_true</vt:lpstr>
      <vt:lpstr>'Leitura Dados de Vôo'!P1_flight_data_true_10</vt:lpstr>
      <vt:lpstr>'Leitura Dados de Vôo'!P1_flight_data_true_11</vt:lpstr>
      <vt:lpstr>'Leitura Dados de Vôo'!P1_flight_data_true_12</vt:lpstr>
      <vt:lpstr>'Leitura Dados de Vôo'!P1_flight_data_true_13</vt:lpstr>
      <vt:lpstr>'Leitura Dados de Vôo'!P1_flight_data_true_14</vt:lpstr>
      <vt:lpstr>'Leitura Dados de Vôo'!P1_flight_data_true_15</vt:lpstr>
      <vt:lpstr>'Leitura Dados de Vôo'!P1_flight_data_true_16</vt:lpstr>
      <vt:lpstr>'Leitura Dados de Vôo'!P1_flight_data_true_17</vt:lpstr>
      <vt:lpstr>'Leitura Dados de Vôo'!P1_flight_data_true_18</vt:lpstr>
      <vt:lpstr>'Leitura Dados de Vôo'!P1_flight_data_true_19</vt:lpstr>
      <vt:lpstr>'Leitura Dados de Vôo'!P1_flight_data_true_2</vt:lpstr>
      <vt:lpstr>'Leitura Dados de Vôo'!P1_flight_data_true_20</vt:lpstr>
      <vt:lpstr>'Leitura Dados de Vôo'!P1_flight_data_true_21</vt:lpstr>
      <vt:lpstr>'Leitura Dados de Vôo'!P1_flight_data_true_22</vt:lpstr>
      <vt:lpstr>'Leitura Dados de Vôo'!P1_flight_data_true_23</vt:lpstr>
      <vt:lpstr>'Leitura Dados de Vôo'!P1_flight_data_true_24</vt:lpstr>
      <vt:lpstr>'Leitura Dados de Vôo'!P1_flight_data_true_25</vt:lpstr>
      <vt:lpstr>'Leitura Dados de Vôo'!P1_flight_data_true_26</vt:lpstr>
      <vt:lpstr>'Leitura Dados de Vôo'!P1_flight_data_true_27</vt:lpstr>
      <vt:lpstr>'Leitura Dados de Vôo'!P1_flight_data_true_28</vt:lpstr>
      <vt:lpstr>'Leitura Dados de Vôo'!P1_flight_data_true_29</vt:lpstr>
      <vt:lpstr>'Leitura Dados de Vôo'!P1_flight_data_true_3</vt:lpstr>
      <vt:lpstr>'Leitura Dados de Vôo'!P1_flight_data_true_30</vt:lpstr>
      <vt:lpstr>'Leitura Dados de Vôo'!P1_flight_data_true_31</vt:lpstr>
      <vt:lpstr>'Leitura Dados de Vôo'!P1_flight_data_true_32</vt:lpstr>
      <vt:lpstr>'Leitura Dados de Vôo'!P1_flight_data_true_33</vt:lpstr>
      <vt:lpstr>'Leitura Dados de Vôo'!P1_flight_data_true_34</vt:lpstr>
      <vt:lpstr>'Leitura Dados de Vôo'!P1_flight_data_true_35</vt:lpstr>
      <vt:lpstr>'Leitura Dados de Vôo'!P1_flight_data_true_36</vt:lpstr>
      <vt:lpstr>'Leitura Dados de Vôo'!P1_flight_data_true_37</vt:lpstr>
      <vt:lpstr>'Leitura Dados de Vôo'!P1_flight_data_true_38</vt:lpstr>
      <vt:lpstr>'Leitura Dados de Vôo'!P1_flight_data_true_39</vt:lpstr>
      <vt:lpstr>'Leitura Dados de Vôo'!P1_flight_data_true_4</vt:lpstr>
      <vt:lpstr>'Leitura Dados de Vôo'!P1_flight_data_true_40</vt:lpstr>
      <vt:lpstr>'Leitura Dados de Vôo'!P1_flight_data_true_41</vt:lpstr>
      <vt:lpstr>'Leitura Dados de Vôo'!P1_flight_data_true_42</vt:lpstr>
      <vt:lpstr>'Leitura Dados de Vôo'!P1_flight_data_true_43</vt:lpstr>
      <vt:lpstr>'Leitura Dados de Vôo'!P1_flight_data_true_44</vt:lpstr>
      <vt:lpstr>'Leitura Dados de Vôo'!P1_flight_data_true_45</vt:lpstr>
      <vt:lpstr>'Leitura Dados de Vôo'!P1_flight_data_true_46</vt:lpstr>
      <vt:lpstr>'Leitura Dados de Vôo'!P1_flight_data_true_47</vt:lpstr>
      <vt:lpstr>'Leitura Dados de Vôo'!P1_flight_data_true_48</vt:lpstr>
      <vt:lpstr>'Leitura Dados de Vôo'!P1_flight_data_true_49</vt:lpstr>
      <vt:lpstr>'Leitura Dados de Vôo'!P1_flight_data_true_5</vt:lpstr>
      <vt:lpstr>'Leitura Dados de Vôo'!P1_flight_data_true_50</vt:lpstr>
      <vt:lpstr>'Leitura Dados de Vôo'!P1_flight_data_true_51</vt:lpstr>
      <vt:lpstr>'Leitura Dados de Vôo'!P1_flight_data_true_52</vt:lpstr>
      <vt:lpstr>'Leitura Dados de Vôo'!P1_flight_data_true_53</vt:lpstr>
      <vt:lpstr>'Leitura Dados de Vôo'!P1_flight_data_true_54</vt:lpstr>
      <vt:lpstr>'Leitura Dados de Vôo'!P1_flight_data_true_55</vt:lpstr>
      <vt:lpstr>'Leitura Dados de Vôo'!P1_flight_data_true_56</vt:lpstr>
      <vt:lpstr>'Leitura Dados de Vôo'!P1_flight_data_true_57</vt:lpstr>
      <vt:lpstr>'Leitura Dados de Vôo'!P1_flight_data_true_58</vt:lpstr>
      <vt:lpstr>'Leitura Dados de Vôo'!P1_flight_data_true_59</vt:lpstr>
      <vt:lpstr>'Leitura Dados de Vôo'!P1_flight_data_true_6</vt:lpstr>
      <vt:lpstr>'Leitura Dados de Vôo'!P1_flight_data_true_60</vt:lpstr>
      <vt:lpstr>'Leitura Dados de Vôo'!P1_flight_data_true_61</vt:lpstr>
      <vt:lpstr>'Leitura Dados de Vôo'!P1_flight_data_true_62</vt:lpstr>
      <vt:lpstr>'Leitura Dados de Vôo'!P1_flight_data_true_63</vt:lpstr>
      <vt:lpstr>'Leitura Dados de Vôo'!P1_flight_data_true_64</vt:lpstr>
      <vt:lpstr>'Leitura Dados de Vôo'!P1_flight_data_true_65</vt:lpstr>
      <vt:lpstr>'Leitura Dados de Vôo'!P1_flight_data_true_66</vt:lpstr>
      <vt:lpstr>'Leitura Dados de Vôo'!P1_flight_data_true_67</vt:lpstr>
      <vt:lpstr>'Leitura Dados de Vôo'!P1_flight_data_true_68</vt:lpstr>
      <vt:lpstr>'Leitura Dados de Vôo'!P1_flight_data_true_69</vt:lpstr>
      <vt:lpstr>'Leitura Dados de Vôo'!P1_flight_data_true_70</vt:lpstr>
      <vt:lpstr>'Leitura Dados de Vôo'!P1_flight_data_true_71</vt:lpstr>
      <vt:lpstr>'Leitura Dados de Vôo'!P1_flight_data_true_72</vt:lpstr>
      <vt:lpstr>'Leitura Dados de Vôo'!P1_flight_data_true_73</vt:lpstr>
      <vt:lpstr>'Leitura Dados de Vôo'!P1_flight_data_true_74</vt:lpstr>
      <vt:lpstr>'Leitura Dados de Vôo'!P1_flight_data_true_75</vt:lpstr>
      <vt:lpstr>'Leitura Dados de Vôo'!P1_flight_data_true_76</vt:lpstr>
      <vt:lpstr>'Leitura Dados de Vôo'!P1_flight_data_true_77</vt:lpstr>
      <vt:lpstr>'Leitura Dados de Vôo'!P1_flight_data_true_78</vt:lpstr>
      <vt:lpstr>'Leitura Dados de Vôo'!P1_flight_data_true_79</vt:lpstr>
      <vt:lpstr>'Leitura Dados de Vôo'!P1_flight_data_true_8</vt:lpstr>
      <vt:lpstr>'Leitura Dados de Vôo'!P1_flight_data_true_80</vt:lpstr>
      <vt:lpstr>'Leitura Dados de Vôo'!P1_flight_data_true_81</vt:lpstr>
      <vt:lpstr>'Leitura Dados de Vôo'!P1_flight_data_true_9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DRAYCON</dc:creator>
  <cp:lastModifiedBy>Carlos Henrique Marchi</cp:lastModifiedBy>
  <cp:lastPrinted>2017-06-26T18:39:46Z</cp:lastPrinted>
  <dcterms:created xsi:type="dcterms:W3CDTF">2016-09-10T21:06:40Z</dcterms:created>
  <dcterms:modified xsi:type="dcterms:W3CDTF">2017-06-26T18:39:53Z</dcterms:modified>
</cp:coreProperties>
</file>